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ТП 3 ввод\СМЕТЫ\Главный корпус\71-СИ-36-2023-10-KХ1.3 ЛС71\"/>
    </mc:Choice>
  </mc:AlternateContent>
  <bookViews>
    <workbookView xWindow="0" yWindow="0" windowWidth="28800" windowHeight="12015" firstSheet="1" activeTab="6"/>
  </bookViews>
  <sheets>
    <sheet name="360014020_В1" sheetId="2" r:id="rId1"/>
    <sheet name="360014020_ИД" sheetId="3" r:id="rId2"/>
    <sheet name="360014020_К9" sheetId="4" r:id="rId3"/>
    <sheet name="360014020_РА" sheetId="5" r:id="rId4"/>
    <sheet name="КХ1.3 ЛС71формула" sheetId="6" r:id="rId5"/>
    <sheet name="КХ1.3 ЛС71формула (2)" sheetId="11" r:id="rId6"/>
    <sheet name="март26 8 блок" sheetId="12" r:id="rId7"/>
  </sheets>
  <externalReferences>
    <externalReference r:id="rId8"/>
  </externalReferences>
  <definedNames>
    <definedName name="Excel_BuiltIn_Print_Titles_1" localSheetId="4">'КХ1.3 ЛС71формула'!$25:$25</definedName>
    <definedName name="Excel_BuiltIn_Print_Titles_1" localSheetId="5">'КХ1.3 ЛС71формула (2)'!$25:$25</definedName>
    <definedName name="Excel_BuiltIn_Print_Titles_1" localSheetId="6">'март26 8 блок'!$25:$25</definedName>
    <definedName name="Excel_BuiltIn_Print_Titles_1">'360014020_К9'!$25:$25</definedName>
    <definedName name="_xlnm.Print_Titles" localSheetId="0">'360014020_В1'!$12:$12</definedName>
    <definedName name="_xlnm.Print_Titles" localSheetId="1">'360014020_ИД'!$2:$2</definedName>
    <definedName name="_xlnm.Print_Titles" localSheetId="2">'360014020_К9'!$22:$22</definedName>
    <definedName name="_xlnm.Print_Titles" localSheetId="3">'360014020_РА'!$15:$15</definedName>
    <definedName name="_xlnm.Print_Titles" localSheetId="4">'КХ1.3 ЛС71формула'!$22:$22</definedName>
    <definedName name="_xlnm.Print_Titles" localSheetId="5">'КХ1.3 ЛС71формула (2)'!$22:$22</definedName>
    <definedName name="_xlnm.Print_Titles" localSheetId="6">'март26 8 блок'!$22:$22</definedName>
  </definedNames>
  <calcPr calcId="152511"/>
  <fileRecoveryPr repairLoad="1"/>
</workbook>
</file>

<file path=xl/calcChain.xml><?xml version="1.0" encoding="utf-8"?>
<calcChain xmlns="http://schemas.openxmlformats.org/spreadsheetml/2006/main">
  <c r="I178" i="12" l="1"/>
  <c r="M177" i="12"/>
  <c r="I175" i="12"/>
  <c r="M183" i="12" s="1"/>
  <c r="M184" i="12" s="1"/>
  <c r="M185" i="12" s="1"/>
  <c r="M186" i="12" s="1"/>
  <c r="L173" i="12"/>
  <c r="K173" i="12"/>
  <c r="J162" i="12"/>
  <c r="I162" i="12"/>
  <c r="L161" i="12" s="1"/>
  <c r="J161" i="12"/>
  <c r="I161" i="12"/>
  <c r="K161" i="12" s="1"/>
  <c r="J160" i="12"/>
  <c r="I160" i="12"/>
  <c r="L159" i="12"/>
  <c r="J159" i="12"/>
  <c r="I159" i="12"/>
  <c r="J158" i="12"/>
  <c r="I158" i="12"/>
  <c r="L157" i="12" s="1"/>
  <c r="J157" i="12"/>
  <c r="I157" i="12"/>
  <c r="M157" i="12" s="1"/>
  <c r="J156" i="12"/>
  <c r="I156" i="12"/>
  <c r="L155" i="12"/>
  <c r="J155" i="12"/>
  <c r="I155" i="12"/>
  <c r="K155" i="12" s="1"/>
  <c r="J154" i="12"/>
  <c r="I154" i="12"/>
  <c r="L153" i="12"/>
  <c r="J153" i="12"/>
  <c r="I153" i="12"/>
  <c r="M153" i="12" s="1"/>
  <c r="J152" i="12"/>
  <c r="I152" i="12"/>
  <c r="L151" i="12" s="1"/>
  <c r="J151" i="12"/>
  <c r="I151" i="12"/>
  <c r="J150" i="12"/>
  <c r="I150" i="12"/>
  <c r="L149" i="12"/>
  <c r="J149" i="12"/>
  <c r="I149" i="12"/>
  <c r="J148" i="12"/>
  <c r="I148" i="12"/>
  <c r="L147" i="12" s="1"/>
  <c r="J147" i="12"/>
  <c r="I147" i="12"/>
  <c r="M147" i="12" s="1"/>
  <c r="J139" i="12"/>
  <c r="I139" i="12"/>
  <c r="L138" i="12"/>
  <c r="J138" i="12"/>
  <c r="I138" i="12"/>
  <c r="J137" i="12"/>
  <c r="L136" i="12" s="1"/>
  <c r="I137" i="12"/>
  <c r="J136" i="12"/>
  <c r="I136" i="12"/>
  <c r="K136" i="12" s="1"/>
  <c r="J135" i="12"/>
  <c r="I135" i="12"/>
  <c r="L134" i="12" s="1"/>
  <c r="J134" i="12"/>
  <c r="I134" i="12"/>
  <c r="J125" i="12"/>
  <c r="I125" i="12"/>
  <c r="L124" i="12"/>
  <c r="J124" i="12"/>
  <c r="I124" i="12"/>
  <c r="J118" i="12"/>
  <c r="I118" i="12"/>
  <c r="J117" i="12"/>
  <c r="I117" i="12"/>
  <c r="K117" i="12" s="1"/>
  <c r="J106" i="12"/>
  <c r="I106" i="12"/>
  <c r="L105" i="12"/>
  <c r="J105" i="12"/>
  <c r="I105" i="12"/>
  <c r="K105" i="12" s="1"/>
  <c r="J104" i="12"/>
  <c r="I104" i="12"/>
  <c r="J103" i="12"/>
  <c r="I103" i="12"/>
  <c r="J102" i="12"/>
  <c r="I102" i="12"/>
  <c r="L101" i="12"/>
  <c r="J101" i="12"/>
  <c r="I101" i="12"/>
  <c r="K101" i="12" s="1"/>
  <c r="J91" i="12"/>
  <c r="I91" i="12"/>
  <c r="L90" i="12"/>
  <c r="J90" i="12"/>
  <c r="I90" i="12"/>
  <c r="J89" i="12"/>
  <c r="I89" i="12"/>
  <c r="J88" i="12"/>
  <c r="I88" i="12"/>
  <c r="J87" i="12"/>
  <c r="I87" i="12"/>
  <c r="L86" i="12"/>
  <c r="J86" i="12"/>
  <c r="I86" i="12"/>
  <c r="M86" i="12" s="1"/>
  <c r="J85" i="12"/>
  <c r="I85" i="12"/>
  <c r="J84" i="12"/>
  <c r="I84" i="12"/>
  <c r="J83" i="12"/>
  <c r="I83" i="12"/>
  <c r="L82" i="12"/>
  <c r="J82" i="12"/>
  <c r="I82" i="12"/>
  <c r="J81" i="12"/>
  <c r="I81" i="12"/>
  <c r="L80" i="12"/>
  <c r="J80" i="12"/>
  <c r="I80" i="12"/>
  <c r="J79" i="12"/>
  <c r="I79" i="12"/>
  <c r="L78" i="12"/>
  <c r="J78" i="12"/>
  <c r="I78" i="12"/>
  <c r="J77" i="12"/>
  <c r="I77" i="12"/>
  <c r="L76" i="12"/>
  <c r="J76" i="12"/>
  <c r="I76" i="12"/>
  <c r="M76" i="12" s="1"/>
  <c r="J75" i="12"/>
  <c r="I75" i="12"/>
  <c r="J74" i="12"/>
  <c r="I74" i="12"/>
  <c r="K74" i="12" s="1"/>
  <c r="J73" i="12"/>
  <c r="L72" i="12" s="1"/>
  <c r="I73" i="12"/>
  <c r="J72" i="12"/>
  <c r="I72" i="12"/>
  <c r="K72" i="12" s="1"/>
  <c r="J64" i="12"/>
  <c r="I64" i="12"/>
  <c r="L63" i="12" s="1"/>
  <c r="J63" i="12"/>
  <c r="I63" i="12"/>
  <c r="M63" i="12" s="1"/>
  <c r="J62" i="12"/>
  <c r="I62" i="12"/>
  <c r="L61" i="12"/>
  <c r="J61" i="12"/>
  <c r="I61" i="12"/>
  <c r="J53" i="12"/>
  <c r="I53" i="12"/>
  <c r="L52" i="12" s="1"/>
  <c r="J52" i="12"/>
  <c r="I52" i="12"/>
  <c r="J51" i="12"/>
  <c r="I51" i="12"/>
  <c r="J50" i="12"/>
  <c r="I50" i="12"/>
  <c r="J40" i="12"/>
  <c r="L39" i="12" s="1"/>
  <c r="I40" i="12"/>
  <c r="J39" i="12"/>
  <c r="I39" i="12"/>
  <c r="K39" i="12" s="1"/>
  <c r="J38" i="12"/>
  <c r="I38" i="12"/>
  <c r="L37" i="12" s="1"/>
  <c r="J37" i="12"/>
  <c r="I37" i="12"/>
  <c r="M37" i="12" s="1"/>
  <c r="J27" i="12"/>
  <c r="I27" i="12"/>
  <c r="L26" i="12"/>
  <c r="J26" i="12"/>
  <c r="I26" i="12"/>
  <c r="L117" i="12" l="1"/>
  <c r="L88" i="12"/>
  <c r="K61" i="12"/>
  <c r="M52" i="12"/>
  <c r="M155" i="12"/>
  <c r="K82" i="12"/>
  <c r="M134" i="12"/>
  <c r="K134" i="12"/>
  <c r="M78" i="12"/>
  <c r="M88" i="12"/>
  <c r="M61" i="12"/>
  <c r="K78" i="12"/>
  <c r="M103" i="12"/>
  <c r="I173" i="12"/>
  <c r="M90" i="12"/>
  <c r="K124" i="12"/>
  <c r="M149" i="12"/>
  <c r="K159" i="12"/>
  <c r="K138" i="12"/>
  <c r="M138" i="12"/>
  <c r="M151" i="12"/>
  <c r="M161" i="12"/>
  <c r="M82" i="12"/>
  <c r="M101" i="12"/>
  <c r="K26" i="12"/>
  <c r="M117" i="12"/>
  <c r="M84" i="12"/>
  <c r="J173" i="12"/>
  <c r="L50" i="12"/>
  <c r="M50" i="12" s="1"/>
  <c r="L74" i="12"/>
  <c r="M74" i="12" s="1"/>
  <c r="M80" i="12"/>
  <c r="L84" i="12"/>
  <c r="L103" i="12"/>
  <c r="I172" i="12"/>
  <c r="I179" i="12" s="1"/>
  <c r="K149" i="12"/>
  <c r="J172" i="12"/>
  <c r="M72" i="12"/>
  <c r="M105" i="12"/>
  <c r="M39" i="12"/>
  <c r="K80" i="12"/>
  <c r="N179" i="12"/>
  <c r="K63" i="12"/>
  <c r="K103" i="12"/>
  <c r="K157" i="12"/>
  <c r="K37" i="12"/>
  <c r="K84" i="12"/>
  <c r="M136" i="12"/>
  <c r="K147" i="12"/>
  <c r="K76" i="12"/>
  <c r="M159" i="12"/>
  <c r="K153" i="12"/>
  <c r="K52" i="12"/>
  <c r="K90" i="12"/>
  <c r="M124" i="12"/>
  <c r="K50" i="12"/>
  <c r="K88" i="12"/>
  <c r="K151" i="12"/>
  <c r="M26" i="12"/>
  <c r="K86" i="12"/>
  <c r="N28" i="11"/>
  <c r="N29" i="11"/>
  <c r="N30" i="11"/>
  <c r="N31" i="11"/>
  <c r="N32" i="11"/>
  <c r="N33" i="11"/>
  <c r="N34" i="11"/>
  <c r="N35" i="11"/>
  <c r="N36" i="11"/>
  <c r="N37" i="11"/>
  <c r="N39" i="11"/>
  <c r="N41" i="11"/>
  <c r="N42" i="11"/>
  <c r="N43" i="11"/>
  <c r="N44" i="11"/>
  <c r="N45" i="11"/>
  <c r="N46" i="11"/>
  <c r="N47" i="11"/>
  <c r="N48" i="11"/>
  <c r="N49" i="11"/>
  <c r="N50" i="11"/>
  <c r="N52" i="11"/>
  <c r="N54" i="11"/>
  <c r="N55" i="11"/>
  <c r="N56" i="11"/>
  <c r="N57" i="11"/>
  <c r="N58" i="11"/>
  <c r="N59" i="11"/>
  <c r="N60" i="11"/>
  <c r="N61" i="11"/>
  <c r="N63" i="11"/>
  <c r="N65" i="11"/>
  <c r="N66" i="11"/>
  <c r="N67" i="11"/>
  <c r="N68" i="11"/>
  <c r="N69" i="11"/>
  <c r="N70" i="11"/>
  <c r="N71" i="11"/>
  <c r="N72" i="11"/>
  <c r="N74" i="11"/>
  <c r="N76" i="11"/>
  <c r="N77" i="11"/>
  <c r="N78" i="11"/>
  <c r="N79" i="11"/>
  <c r="N80" i="11"/>
  <c r="N81" i="11"/>
  <c r="N82" i="11"/>
  <c r="N83" i="11"/>
  <c r="N84" i="11"/>
  <c r="N85" i="11"/>
  <c r="N86" i="11"/>
  <c r="N88" i="11"/>
  <c r="N90" i="11"/>
  <c r="N92" i="11"/>
  <c r="N93" i="11"/>
  <c r="N94" i="11"/>
  <c r="N95" i="11"/>
  <c r="N96" i="11"/>
  <c r="N97" i="11"/>
  <c r="N98" i="11"/>
  <c r="N99" i="11"/>
  <c r="N100" i="11"/>
  <c r="N101" i="11"/>
  <c r="N103" i="11"/>
  <c r="N105" i="11"/>
  <c r="N107" i="11"/>
  <c r="N108" i="11"/>
  <c r="N109" i="11"/>
  <c r="N110" i="11"/>
  <c r="N111" i="11"/>
  <c r="N112" i="11"/>
  <c r="N113" i="11"/>
  <c r="N114" i="11"/>
  <c r="N115" i="11"/>
  <c r="N116" i="11"/>
  <c r="N117" i="11"/>
  <c r="N119" i="11"/>
  <c r="N120" i="11"/>
  <c r="N121" i="11"/>
  <c r="N122" i="11"/>
  <c r="N123" i="11"/>
  <c r="N124" i="11"/>
  <c r="N126" i="11"/>
  <c r="N127" i="11"/>
  <c r="N128" i="11"/>
  <c r="N129" i="11"/>
  <c r="N130" i="11"/>
  <c r="N131" i="11"/>
  <c r="N132" i="11"/>
  <c r="N133" i="11"/>
  <c r="N134" i="11"/>
  <c r="N136" i="11"/>
  <c r="N138" i="11"/>
  <c r="N140" i="11"/>
  <c r="N141" i="11"/>
  <c r="N142" i="11"/>
  <c r="N143" i="11"/>
  <c r="N144" i="11"/>
  <c r="N145" i="11"/>
  <c r="N146" i="11"/>
  <c r="N147" i="11"/>
  <c r="N149" i="11"/>
  <c r="N151" i="11"/>
  <c r="N152" i="11"/>
  <c r="N153" i="11"/>
  <c r="N154" i="11"/>
  <c r="N155" i="11"/>
  <c r="N156" i="11"/>
  <c r="N157" i="11"/>
  <c r="N158" i="11"/>
  <c r="N159" i="11"/>
  <c r="N161" i="11"/>
  <c r="N162" i="11"/>
  <c r="N26" i="11"/>
  <c r="M177" i="11"/>
  <c r="I175" i="11"/>
  <c r="N179" i="11" s="1"/>
  <c r="L173" i="11"/>
  <c r="I178" i="11" s="1"/>
  <c r="K173" i="11"/>
  <c r="J162" i="11"/>
  <c r="I162" i="11"/>
  <c r="L161" i="11" s="1"/>
  <c r="J161" i="11"/>
  <c r="I161" i="11"/>
  <c r="J160" i="11"/>
  <c r="I160" i="11"/>
  <c r="L159" i="11"/>
  <c r="J159" i="11"/>
  <c r="I159" i="11"/>
  <c r="M159" i="11" s="1"/>
  <c r="J158" i="11"/>
  <c r="I158" i="11"/>
  <c r="L157" i="11" s="1"/>
  <c r="J157" i="11"/>
  <c r="I157" i="11"/>
  <c r="M157" i="11" s="1"/>
  <c r="J156" i="11"/>
  <c r="I156" i="11"/>
  <c r="L155" i="11" s="1"/>
  <c r="J155" i="11"/>
  <c r="I155" i="11"/>
  <c r="M155" i="11" s="1"/>
  <c r="J154" i="11"/>
  <c r="I154" i="11"/>
  <c r="L153" i="11" s="1"/>
  <c r="M153" i="11" s="1"/>
  <c r="J153" i="11"/>
  <c r="I153" i="11"/>
  <c r="K153" i="11" s="1"/>
  <c r="J152" i="11"/>
  <c r="I152" i="11"/>
  <c r="L151" i="11" s="1"/>
  <c r="J151" i="11"/>
  <c r="I151" i="11"/>
  <c r="J150" i="11"/>
  <c r="I150" i="11"/>
  <c r="L149" i="11" s="1"/>
  <c r="M149" i="11" s="1"/>
  <c r="J149" i="11"/>
  <c r="I149" i="11"/>
  <c r="K149" i="11" s="1"/>
  <c r="J148" i="11"/>
  <c r="I148" i="11"/>
  <c r="L147" i="11" s="1"/>
  <c r="M147" i="11" s="1"/>
  <c r="J147" i="11"/>
  <c r="I147" i="11"/>
  <c r="J139" i="11"/>
  <c r="I139" i="11"/>
  <c r="L138" i="11"/>
  <c r="J138" i="11"/>
  <c r="K138" i="11" s="1"/>
  <c r="I138" i="11"/>
  <c r="J137" i="11"/>
  <c r="I137" i="11"/>
  <c r="L136" i="11" s="1"/>
  <c r="J136" i="11"/>
  <c r="I136" i="11"/>
  <c r="J135" i="11"/>
  <c r="I135" i="11"/>
  <c r="L134" i="11" s="1"/>
  <c r="J134" i="11"/>
  <c r="I134" i="11"/>
  <c r="J125" i="11"/>
  <c r="I125" i="11"/>
  <c r="L124" i="11" s="1"/>
  <c r="J124" i="11"/>
  <c r="I124" i="11"/>
  <c r="J118" i="11"/>
  <c r="I118" i="11"/>
  <c r="L117" i="11" s="1"/>
  <c r="M117" i="11" s="1"/>
  <c r="J117" i="11"/>
  <c r="I117" i="11"/>
  <c r="J106" i="11"/>
  <c r="I106" i="11"/>
  <c r="L105" i="11" s="1"/>
  <c r="J105" i="11"/>
  <c r="I105" i="11"/>
  <c r="J104" i="11"/>
  <c r="I104" i="11"/>
  <c r="L103" i="11" s="1"/>
  <c r="M103" i="11" s="1"/>
  <c r="J103" i="11"/>
  <c r="I103" i="11"/>
  <c r="K103" i="11" s="1"/>
  <c r="J102" i="11"/>
  <c r="I102" i="11"/>
  <c r="L101" i="11"/>
  <c r="M101" i="11" s="1"/>
  <c r="K101" i="11"/>
  <c r="J101" i="11"/>
  <c r="I101" i="11"/>
  <c r="J91" i="11"/>
  <c r="I91" i="11"/>
  <c r="L90" i="11"/>
  <c r="J90" i="11"/>
  <c r="I90" i="11"/>
  <c r="M90" i="11" s="1"/>
  <c r="J89" i="11"/>
  <c r="I89" i="11"/>
  <c r="L88" i="11" s="1"/>
  <c r="J88" i="11"/>
  <c r="I88" i="11"/>
  <c r="J87" i="11"/>
  <c r="I87" i="11"/>
  <c r="L86" i="11" s="1"/>
  <c r="J86" i="11"/>
  <c r="I86" i="11"/>
  <c r="M86" i="11" s="1"/>
  <c r="J85" i="11"/>
  <c r="I85" i="11"/>
  <c r="L84" i="11" s="1"/>
  <c r="J84" i="11"/>
  <c r="I84" i="11"/>
  <c r="M84" i="11" s="1"/>
  <c r="J83" i="11"/>
  <c r="I83" i="11"/>
  <c r="L82" i="11" s="1"/>
  <c r="J82" i="11"/>
  <c r="I82" i="11"/>
  <c r="K82" i="11" s="1"/>
  <c r="J81" i="11"/>
  <c r="I81" i="11"/>
  <c r="L80" i="11" s="1"/>
  <c r="M80" i="11" s="1"/>
  <c r="J80" i="11"/>
  <c r="I80" i="11"/>
  <c r="J79" i="11"/>
  <c r="I79" i="11"/>
  <c r="L78" i="11"/>
  <c r="M78" i="11" s="1"/>
  <c r="K78" i="11"/>
  <c r="J78" i="11"/>
  <c r="I78" i="11"/>
  <c r="J77" i="11"/>
  <c r="I77" i="11"/>
  <c r="L76" i="11"/>
  <c r="J76" i="11"/>
  <c r="I76" i="11"/>
  <c r="K76" i="11" s="1"/>
  <c r="J75" i="11"/>
  <c r="I75" i="11"/>
  <c r="L74" i="11" s="1"/>
  <c r="J74" i="11"/>
  <c r="I74" i="11"/>
  <c r="J73" i="11"/>
  <c r="I73" i="11"/>
  <c r="J72" i="11"/>
  <c r="I72" i="11"/>
  <c r="J64" i="11"/>
  <c r="I64" i="11"/>
  <c r="J63" i="11"/>
  <c r="I63" i="11"/>
  <c r="J62" i="11"/>
  <c r="I62" i="11"/>
  <c r="L61" i="11" s="1"/>
  <c r="J61" i="11"/>
  <c r="I61" i="11"/>
  <c r="J53" i="11"/>
  <c r="I53" i="11"/>
  <c r="L52" i="11" s="1"/>
  <c r="J52" i="11"/>
  <c r="I52" i="11"/>
  <c r="K52" i="11" s="1"/>
  <c r="J51" i="11"/>
  <c r="I51" i="11"/>
  <c r="L50" i="11" s="1"/>
  <c r="M50" i="11" s="1"/>
  <c r="J50" i="11"/>
  <c r="I50" i="11"/>
  <c r="J40" i="11"/>
  <c r="I40" i="11"/>
  <c r="L39" i="11" s="1"/>
  <c r="M39" i="11" s="1"/>
  <c r="J39" i="11"/>
  <c r="I39" i="11"/>
  <c r="K39" i="11" s="1"/>
  <c r="J38" i="11"/>
  <c r="L37" i="11" s="1"/>
  <c r="I38" i="11"/>
  <c r="J37" i="11"/>
  <c r="I37" i="11"/>
  <c r="K37" i="11" s="1"/>
  <c r="J27" i="11"/>
  <c r="I27" i="11"/>
  <c r="L26" i="11" s="1"/>
  <c r="J26" i="11"/>
  <c r="I26" i="11"/>
  <c r="L172" i="12" l="1"/>
  <c r="I177" i="12" s="1"/>
  <c r="K180" i="12"/>
  <c r="K181" i="12" s="1"/>
  <c r="K172" i="12"/>
  <c r="O174" i="12" s="1"/>
  <c r="M172" i="12"/>
  <c r="I180" i="12"/>
  <c r="I181" i="12" s="1"/>
  <c r="M76" i="11"/>
  <c r="J173" i="11"/>
  <c r="M82" i="11"/>
  <c r="M151" i="11"/>
  <c r="K74" i="11"/>
  <c r="M88" i="11"/>
  <c r="M105" i="11"/>
  <c r="L72" i="11"/>
  <c r="L172" i="11" s="1"/>
  <c r="I177" i="11" s="1"/>
  <c r="M52" i="11"/>
  <c r="L63" i="11"/>
  <c r="M63" i="11" s="1"/>
  <c r="M161" i="11"/>
  <c r="J172" i="11"/>
  <c r="M136" i="11"/>
  <c r="M74" i="11"/>
  <c r="K117" i="11"/>
  <c r="M134" i="11"/>
  <c r="K147" i="11"/>
  <c r="K161" i="11"/>
  <c r="K90" i="11"/>
  <c r="I172" i="11"/>
  <c r="I179" i="11" s="1"/>
  <c r="I180" i="11" s="1"/>
  <c r="I181" i="11" s="1"/>
  <c r="M61" i="11"/>
  <c r="K72" i="11"/>
  <c r="M138" i="11"/>
  <c r="I173" i="11"/>
  <c r="M124" i="11"/>
  <c r="M37" i="11"/>
  <c r="K88" i="11"/>
  <c r="K136" i="11"/>
  <c r="K159" i="11"/>
  <c r="M26" i="11"/>
  <c r="K86" i="11"/>
  <c r="K134" i="11"/>
  <c r="K157" i="11"/>
  <c r="K61" i="11"/>
  <c r="K84" i="11"/>
  <c r="K124" i="11"/>
  <c r="K155" i="11"/>
  <c r="K26" i="11"/>
  <c r="K63" i="11"/>
  <c r="M183" i="11"/>
  <c r="M184" i="11" s="1"/>
  <c r="M185" i="11" s="1"/>
  <c r="M186" i="11" s="1"/>
  <c r="K50" i="11"/>
  <c r="K80" i="11"/>
  <c r="K105" i="11"/>
  <c r="K151" i="11"/>
  <c r="O174" i="6"/>
  <c r="I176" i="12" l="1"/>
  <c r="L180" i="12" s="1"/>
  <c r="L181" i="12" s="1"/>
  <c r="I182" i="12"/>
  <c r="I183" i="12"/>
  <c r="K182" i="12"/>
  <c r="K183" i="12"/>
  <c r="M72" i="11"/>
  <c r="K180" i="11"/>
  <c r="K181" i="11"/>
  <c r="K183" i="11" s="1"/>
  <c r="K172" i="11"/>
  <c r="M172" i="11"/>
  <c r="I182" i="11"/>
  <c r="I183" i="11"/>
  <c r="M183" i="6"/>
  <c r="M184" i="6" s="1"/>
  <c r="M185" i="6" s="1"/>
  <c r="M186" i="6" s="1"/>
  <c r="L180" i="6"/>
  <c r="L181" i="6" s="1"/>
  <c r="K180" i="6"/>
  <c r="K181" i="6" s="1"/>
  <c r="N179" i="6"/>
  <c r="I179" i="6"/>
  <c r="I180" i="6" s="1"/>
  <c r="I184" i="12" l="1"/>
  <c r="I185" i="12" s="1"/>
  <c r="I186" i="12" s="1"/>
  <c r="I187" i="12" s="1"/>
  <c r="I188" i="12" s="1"/>
  <c r="K184" i="12"/>
  <c r="K185" i="12" s="1"/>
  <c r="K186" i="12" s="1"/>
  <c r="L182" i="12"/>
  <c r="L183" i="12"/>
  <c r="N180" i="12"/>
  <c r="I184" i="11"/>
  <c r="I185" i="11" s="1"/>
  <c r="I186" i="11" s="1"/>
  <c r="I187" i="11" s="1"/>
  <c r="K182" i="11"/>
  <c r="K184" i="11" s="1"/>
  <c r="K185" i="11" s="1"/>
  <c r="K186" i="11" s="1"/>
  <c r="O174" i="11"/>
  <c r="I176" i="11"/>
  <c r="K182" i="6"/>
  <c r="K184" i="6" s="1"/>
  <c r="K185" i="6" s="1"/>
  <c r="K186" i="6" s="1"/>
  <c r="K183" i="6"/>
  <c r="N180" i="6"/>
  <c r="L182" i="6"/>
  <c r="L183" i="6"/>
  <c r="L184" i="6" s="1"/>
  <c r="L185" i="6" s="1"/>
  <c r="L186" i="6" s="1"/>
  <c r="I181" i="6"/>
  <c r="I173" i="6"/>
  <c r="M172" i="6"/>
  <c r="L173" i="6"/>
  <c r="K173" i="6"/>
  <c r="J173" i="6"/>
  <c r="L172" i="6"/>
  <c r="K172" i="6"/>
  <c r="J172" i="6"/>
  <c r="I172" i="6"/>
  <c r="M177" i="6"/>
  <c r="I178" i="6"/>
  <c r="I175" i="6"/>
  <c r="I177" i="6"/>
  <c r="I176" i="6"/>
  <c r="J162" i="6"/>
  <c r="I162" i="6"/>
  <c r="L161" i="6"/>
  <c r="J161" i="6"/>
  <c r="I161" i="6"/>
  <c r="M161" i="6" s="1"/>
  <c r="J160" i="6"/>
  <c r="I160" i="6"/>
  <c r="L159" i="6"/>
  <c r="J159" i="6"/>
  <c r="I159" i="6"/>
  <c r="M159" i="6" s="1"/>
  <c r="J158" i="6"/>
  <c r="I158" i="6"/>
  <c r="L157" i="6" s="1"/>
  <c r="J157" i="6"/>
  <c r="I157" i="6"/>
  <c r="M157" i="6" s="1"/>
  <c r="J156" i="6"/>
  <c r="I156" i="6"/>
  <c r="L155" i="6"/>
  <c r="J155" i="6"/>
  <c r="I155" i="6"/>
  <c r="K155" i="6" s="1"/>
  <c r="J154" i="6"/>
  <c r="I154" i="6"/>
  <c r="L153" i="6"/>
  <c r="M153" i="6" s="1"/>
  <c r="J153" i="6"/>
  <c r="I153" i="6"/>
  <c r="K153" i="6" s="1"/>
  <c r="J152" i="6"/>
  <c r="I152" i="6"/>
  <c r="L151" i="6"/>
  <c r="J151" i="6"/>
  <c r="I151" i="6"/>
  <c r="K151" i="6" s="1"/>
  <c r="J150" i="6"/>
  <c r="I150" i="6"/>
  <c r="L149" i="6"/>
  <c r="M149" i="6" s="1"/>
  <c r="J149" i="6"/>
  <c r="K149" i="6" s="1"/>
  <c r="I149" i="6"/>
  <c r="J148" i="6"/>
  <c r="I148" i="6"/>
  <c r="L147" i="6"/>
  <c r="J147" i="6"/>
  <c r="I147" i="6"/>
  <c r="M147" i="6" s="1"/>
  <c r="J139" i="6"/>
  <c r="I139" i="6"/>
  <c r="L138" i="6"/>
  <c r="J138" i="6"/>
  <c r="I138" i="6"/>
  <c r="K138" i="6" s="1"/>
  <c r="J137" i="6"/>
  <c r="I137" i="6"/>
  <c r="L136" i="6"/>
  <c r="J136" i="6"/>
  <c r="I136" i="6"/>
  <c r="K136" i="6" s="1"/>
  <c r="J135" i="6"/>
  <c r="I135" i="6"/>
  <c r="L134" i="6"/>
  <c r="J134" i="6"/>
  <c r="I134" i="6"/>
  <c r="M134" i="6" s="1"/>
  <c r="J125" i="6"/>
  <c r="I125" i="6"/>
  <c r="L124" i="6" s="1"/>
  <c r="J124" i="6"/>
  <c r="I124" i="6"/>
  <c r="M124" i="6" s="1"/>
  <c r="J118" i="6"/>
  <c r="I118" i="6"/>
  <c r="L117" i="6"/>
  <c r="J117" i="6"/>
  <c r="I117" i="6"/>
  <c r="K117" i="6" s="1"/>
  <c r="J106" i="6"/>
  <c r="I106" i="6"/>
  <c r="L105" i="6"/>
  <c r="J105" i="6"/>
  <c r="I105" i="6"/>
  <c r="M105" i="6" s="1"/>
  <c r="J104" i="6"/>
  <c r="I104" i="6"/>
  <c r="L103" i="6"/>
  <c r="J103" i="6"/>
  <c r="I103" i="6"/>
  <c r="M103" i="6" s="1"/>
  <c r="J102" i="6"/>
  <c r="I102" i="6"/>
  <c r="L101" i="6"/>
  <c r="J101" i="6"/>
  <c r="I101" i="6"/>
  <c r="M101" i="6" s="1"/>
  <c r="J91" i="6"/>
  <c r="I91" i="6"/>
  <c r="L90" i="6"/>
  <c r="J90" i="6"/>
  <c r="I90" i="6"/>
  <c r="M90" i="6" s="1"/>
  <c r="J89" i="6"/>
  <c r="I89" i="6"/>
  <c r="L88" i="6"/>
  <c r="J88" i="6"/>
  <c r="I88" i="6"/>
  <c r="M88" i="6" s="1"/>
  <c r="J87" i="6"/>
  <c r="I87" i="6"/>
  <c r="L86" i="6"/>
  <c r="J86" i="6"/>
  <c r="I86" i="6"/>
  <c r="M86" i="6" s="1"/>
  <c r="J85" i="6"/>
  <c r="I85" i="6"/>
  <c r="L84" i="6" s="1"/>
  <c r="J84" i="6"/>
  <c r="I84" i="6"/>
  <c r="M84" i="6" s="1"/>
  <c r="J83" i="6"/>
  <c r="I83" i="6"/>
  <c r="L82" i="6"/>
  <c r="J82" i="6"/>
  <c r="I82" i="6"/>
  <c r="M82" i="6" s="1"/>
  <c r="J81" i="6"/>
  <c r="I81" i="6"/>
  <c r="L80" i="6"/>
  <c r="M80" i="6" s="1"/>
  <c r="J80" i="6"/>
  <c r="I80" i="6"/>
  <c r="K80" i="6" s="1"/>
  <c r="J79" i="6"/>
  <c r="I79" i="6"/>
  <c r="L78" i="6"/>
  <c r="J78" i="6"/>
  <c r="I78" i="6"/>
  <c r="M78" i="6" s="1"/>
  <c r="J77" i="6"/>
  <c r="I77" i="6"/>
  <c r="L76" i="6"/>
  <c r="M76" i="6" s="1"/>
  <c r="J76" i="6"/>
  <c r="K76" i="6" s="1"/>
  <c r="I76" i="6"/>
  <c r="J75" i="6"/>
  <c r="I75" i="6"/>
  <c r="L74" i="6"/>
  <c r="J74" i="6"/>
  <c r="I74" i="6"/>
  <c r="M74" i="6" s="1"/>
  <c r="J73" i="6"/>
  <c r="I73" i="6"/>
  <c r="L72" i="6"/>
  <c r="J72" i="6"/>
  <c r="I72" i="6"/>
  <c r="K72" i="6" s="1"/>
  <c r="J64" i="6"/>
  <c r="I64" i="6"/>
  <c r="L63" i="6"/>
  <c r="J63" i="6"/>
  <c r="I63" i="6"/>
  <c r="K63" i="6" s="1"/>
  <c r="J62" i="6"/>
  <c r="I62" i="6"/>
  <c r="L61" i="6" s="1"/>
  <c r="J61" i="6"/>
  <c r="I61" i="6"/>
  <c r="K61" i="6" s="1"/>
  <c r="J53" i="6"/>
  <c r="I53" i="6"/>
  <c r="L52" i="6"/>
  <c r="J52" i="6"/>
  <c r="I52" i="6"/>
  <c r="K52" i="6" s="1"/>
  <c r="J51" i="6"/>
  <c r="I51" i="6"/>
  <c r="L50" i="6"/>
  <c r="J50" i="6"/>
  <c r="I50" i="6"/>
  <c r="M50" i="6" s="1"/>
  <c r="J40" i="6"/>
  <c r="I40" i="6"/>
  <c r="L39" i="6"/>
  <c r="J39" i="6"/>
  <c r="I39" i="6"/>
  <c r="M39" i="6" s="1"/>
  <c r="J38" i="6"/>
  <c r="I38" i="6"/>
  <c r="L37" i="6"/>
  <c r="J37" i="6"/>
  <c r="I37" i="6"/>
  <c r="M37" i="6" s="1"/>
  <c r="J27" i="6"/>
  <c r="L26" i="6" s="1"/>
  <c r="M26" i="6" s="1"/>
  <c r="I27" i="6"/>
  <c r="J26" i="6"/>
  <c r="I26" i="6"/>
  <c r="K26" i="6" s="1"/>
  <c r="N181" i="12" l="1"/>
  <c r="L184" i="12"/>
  <c r="L185" i="12" s="1"/>
  <c r="L186" i="12" s="1"/>
  <c r="I188" i="11"/>
  <c r="L180" i="11"/>
  <c r="L181" i="11" s="1"/>
  <c r="N180" i="11" s="1"/>
  <c r="N181" i="11" s="1"/>
  <c r="I183" i="6"/>
  <c r="I184" i="6" s="1"/>
  <c r="I185" i="6" s="1"/>
  <c r="I186" i="6" s="1"/>
  <c r="I182" i="6"/>
  <c r="M155" i="6"/>
  <c r="K161" i="6"/>
  <c r="M151" i="6"/>
  <c r="K157" i="6"/>
  <c r="K159" i="6"/>
  <c r="K147" i="6"/>
  <c r="M138" i="6"/>
  <c r="K134" i="6"/>
  <c r="M136" i="6"/>
  <c r="K124" i="6"/>
  <c r="M117" i="6"/>
  <c r="K103" i="6"/>
  <c r="K105" i="6"/>
  <c r="K101" i="6"/>
  <c r="K90" i="6"/>
  <c r="K78" i="6"/>
  <c r="K74" i="6"/>
  <c r="K88" i="6"/>
  <c r="K84" i="6"/>
  <c r="K82" i="6"/>
  <c r="K86" i="6"/>
  <c r="M72" i="6"/>
  <c r="M61" i="6"/>
  <c r="M63" i="6"/>
  <c r="M52" i="6"/>
  <c r="K50" i="6"/>
  <c r="K39" i="6"/>
  <c r="K37" i="6"/>
  <c r="L182" i="11" l="1"/>
  <c r="L183" i="11"/>
  <c r="I187" i="6"/>
  <c r="I188" i="6"/>
  <c r="N181" i="6"/>
  <c r="L184" i="11" l="1"/>
  <c r="L185" i="11" s="1"/>
  <c r="L186" i="11" s="1"/>
</calcChain>
</file>

<file path=xl/sharedStrings.xml><?xml version="1.0" encoding="utf-8"?>
<sst xmlns="http://schemas.openxmlformats.org/spreadsheetml/2006/main" count="2772" uniqueCount="395">
  <si>
    <t>СВОДКА ОБЪЕМОВ И СТОИМОСТИ РАБОТ</t>
  </si>
  <si>
    <t>по смете №</t>
  </si>
  <si>
    <t>СИ-36-2023-10-КХ1.3 ЛС71</t>
  </si>
  <si>
    <t>на КАБЕЛЬНОЕ ХОЗЯЙСТВО ЛК №46А, ЛК №46Б, ЛК №47А, ЛК №47Б, ЛК №48А, ЛК №48Б</t>
  </si>
  <si>
    <t>(наименование работ и затрат)</t>
  </si>
  <si>
    <t>Составлена в текущих ценах 2023г.</t>
  </si>
  <si>
    <t>Тенге</t>
  </si>
  <si>
    <t>N п.п.</t>
  </si>
  <si>
    <t>Наименование разделов</t>
  </si>
  <si>
    <t>Единица измере- ния</t>
  </si>
  <si>
    <t>Объем</t>
  </si>
  <si>
    <t>Сметная стоимость</t>
  </si>
  <si>
    <t>Норматив- ная трудо- емкость, чел.-ч.</t>
  </si>
  <si>
    <t>Средства на оплату труда</t>
  </si>
  <si>
    <t>Показатели единичной стоимости</t>
  </si>
  <si>
    <t>Удельный показатель  в % к итогу</t>
  </si>
  <si>
    <t>Строитель- ных работ</t>
  </si>
  <si>
    <t>Монтажных работ</t>
  </si>
  <si>
    <t>Оборудо- вания</t>
  </si>
  <si>
    <t>Прочих затрат</t>
  </si>
  <si>
    <t>Всего</t>
  </si>
  <si>
    <t>1</t>
  </si>
  <si>
    <t>-</t>
  </si>
  <si>
    <t>Всего по смете:</t>
  </si>
  <si>
    <t>Составил</t>
  </si>
  <si>
    <t>Звон Е.В.</t>
  </si>
  <si>
    <t>Проверил</t>
  </si>
  <si>
    <t>Мельникова О.А.</t>
  </si>
  <si>
    <t>ИСХОДНЫЕ ДАННЫЕ : Э360014020</t>
  </si>
  <si>
    <t>№</t>
  </si>
  <si>
    <r>
      <t xml:space="preserve">Строка данных АВС   </t>
    </r>
    <r>
      <rPr>
        <sz val="9"/>
        <color indexed="23"/>
        <rFont val="Times New Roman"/>
        <family val="1"/>
        <charset val="204"/>
      </rPr>
      <t>(Номер строки текстового фрагмента.)</t>
    </r>
  </si>
  <si>
    <t>Э360014020'К9Q9А0В1Ж5'Ц8Н2ХМ2Ш1В1+РБ''14.2'''''*</t>
  </si>
  <si>
    <t>2</t>
  </si>
  <si>
    <t>Ю''КОРРЕКТИРОВКА ПРОЕКТА "РЕКОНСТРУКЦИЯ И МОДЕРНИЗАЦИЯ ПРОИЗВОДСТВЕННОГО КОМПЛЕКСА ТОПЛИВОПОДАЧИ. СТРОИТЕЛЬСТВО ДОПОЛНИТЕЛЬНОГО ВВОДА ТРАКТА ТОПЛИВОПОДАЧИ ТОО "ЭКИБАСТУЗСКАЯ ГРЭС-1 ИМ. Б.НУРЖАНОВА"'СИ-36-Р'02-01'ГЛАВНЫЙ КОРПУС'Р'2'СИ-36-2023-10-КХ1.3 ЛС71'КАБЕЛЬНОЕ ХОЗЯЙСТВО ЛК №46А, ЛК №46Б, ЛК №47А, ЛК №47Б, ЛК №48А, ЛК №48Б'КЖС-2020-02/зк-10-КХ1.3'Коршунов И.Н.'в текущих ценах 2023г.*</t>
  </si>
  <si>
    <t>3</t>
  </si>
  <si>
    <t>П0 Коэффициент 1,2 к нормам затрат труда, времени эксплуатации машин (включая затраты труда рабочих, обслуживающих машины). Производство монтажных работ на действующих предприятиях (в цехах, корпусах, на производственных площадках) при наличии в зоне производства работ действующего технологического оборудования(станков, установок, печей, кранов, конвейеров, разливочных ковшей и т.п.), или разветвленной сети инженерных коммуникаций, или запыленности воздуха, или движения технологического транспорта по внутрицеховым и внутризаводским путям, что непосредственно влияет на выполнение работ по монтажу оборудования. ЭСН РК 8.04-02-2022, приложение Б, таблица Б.1, п.1,#*</t>
  </si>
  <si>
    <t>4</t>
  </si>
  <si>
    <t>Н5.1,2'Н52.1,2*</t>
  </si>
  <si>
    <t>5</t>
  </si>
  <si>
    <t>Н27=1,2*</t>
  </si>
  <si>
    <t>6</t>
  </si>
  <si>
    <t>П2КАБЕЛЬНЫЕ КОНСТРУКЦИИ*</t>
  </si>
  <si>
    <t>7</t>
  </si>
  <si>
    <t>Ц13-080206-0501'312.4,5:1000''Лоток металлический штампованный по установленным конструкциям, ширина лотка до 200 мм'т*</t>
  </si>
  <si>
    <t>8</t>
  </si>
  <si>
    <t>С1243-907-0803'312.2''Лестничный лоток замкового типа НЛ 20-П 1,87 УТ 2,5 оцинкованный, прямой, высотой 70 мм, шириной 200 мм'м*</t>
  </si>
  <si>
    <t>9</t>
  </si>
  <si>
    <t>Ц13-080206-0502'171.5,8:1000''Лоток металлический штампованный по установленным конструкциям, ширина лотка до 400 мм'т*</t>
  </si>
  <si>
    <t>10</t>
  </si>
  <si>
    <t>С1243-907-0804'171.2''Лестничный лоток замкового типаНЛ 30-П 1,87 УТ 2,5 оцинкованный, прямой, высотой 70 мм, шириной 300 мм'м*</t>
  </si>
  <si>
    <t>11</t>
  </si>
  <si>
    <t>У6124-0201-1004'660''Полка кабельная, устанавливаемаяна стойках, масса до 0,4 кг'шт*</t>
  </si>
  <si>
    <t>12</t>
  </si>
  <si>
    <t>С1243-907-0504'660''Полки кабельные К 1161 УТ2,5'шт.*</t>
  </si>
  <si>
    <t>13</t>
  </si>
  <si>
    <t>У6124-0201-1005'320''Полка кабельная, устанавливаемаяна стойках, масса до 0,7 кг'шт*</t>
  </si>
  <si>
    <t>14</t>
  </si>
  <si>
    <t>С1243-907-0506'320''Полки кабельные К 1162 УТ2,5'шт.*</t>
  </si>
  <si>
    <t>15</t>
  </si>
  <si>
    <t>У6124-0201-1001'490''Стойка сборных кабельных конструкций /без полок/, масса до 1,6 кг'шт*</t>
  </si>
  <si>
    <t>16</t>
  </si>
  <si>
    <t>С1243-907-0702'490''Стойки кабельные К 1150УТ2,5'шт.*</t>
  </si>
  <si>
    <t>17</t>
  </si>
  <si>
    <t>С1243-907-3801'980''Скоба стойки настенной модель К1157 толщиной 2 мм'шт.*</t>
  </si>
  <si>
    <t>18</t>
  </si>
  <si>
    <t>Ц13-080206-0501'1960.0,03:1000''Лоток металлический штампованный по установленным конструкциям, ширина лотка до 200 мм'т*</t>
  </si>
  <si>
    <t>19</t>
  </si>
  <si>
    <t>С1243-907-6104'1960''Прижим лестничный шириной 27 мм,длиной 40 мм для фиксации лестничных лотков на кронштейнах'шт.*</t>
  </si>
  <si>
    <t>20</t>
  </si>
  <si>
    <t>С1261-107-0991'1522''Дюбели гвоздевые полипропиленовые со стальным оцинкованным стержнем размерами 6 мм х 60 мм - дюбель-гвоздь 4,5х40'шт.*</t>
  </si>
  <si>
    <t>21</t>
  </si>
  <si>
    <t>У6124-0201-1013(РМ129995)'(6,8.2,32+35,4.0,888):1000''Конструкция сварная. Монтаж оборудования'т*</t>
  </si>
  <si>
    <t>22</t>
  </si>
  <si>
    <t>Е11-460302-0403'16''Стены, полы бетонные толщиной 100 мм. Пробивка отверстий площадью до 500 см2'отверстие*</t>
  </si>
  <si>
    <t>23</t>
  </si>
  <si>
    <t>Е12-060101-2201(РС279806)(РС125876)(РС295564)'27,2.2,32:1000''Проемы. Обрамление угловой сталью'т*</t>
  </si>
  <si>
    <t>24</t>
  </si>
  <si>
    <t>С1214-201-0102(=13)'34.2,32:1000''Уголок стальной горячекатаный равнополочный из углеродистой стали обыкновенного качества, ширина полки от 40 до 125 мм, толщиной от 2 до 16 мм ГОСТ 535-2005'т*</t>
  </si>
  <si>
    <t>25</t>
  </si>
  <si>
    <t>С1214-206-0202(=13)'35,4.0,888:1000''Прокат стальной горячекатаный круглый из углеродистой обыкновенной и низколегированной стали диаметром 11-36 мм ГОСТ 535-2005 (ГОСТ 2590-2006)'т*</t>
  </si>
  <si>
    <t>26</t>
  </si>
  <si>
    <r>
      <t>У6124-0201-1201'32.1.0,5''Плита асбестоцементная между проложенными кабелями на кабельных конструкциях'м</t>
    </r>
    <r>
      <rPr>
        <vertAlign val="superscript"/>
        <sz val="10"/>
        <rFont val="Courier New"/>
        <family val="3"/>
        <charset val="204"/>
      </rPr>
      <t>2</t>
    </r>
    <r>
      <rPr>
        <sz val="10"/>
        <rFont val="Courier New"/>
        <family val="3"/>
        <charset val="204"/>
      </rPr>
      <t>*</t>
    </r>
  </si>
  <si>
    <t>27</t>
  </si>
  <si>
    <t>СТПрайс ТОО "ТД "Электроцентр" г.Астана(=13)'32'47729:1,12.1,02'Плита из минерал.волокна с огнестойким покрытием DP1201-DKC, 1000х500х52мм'шт*</t>
  </si>
  <si>
    <t>28</t>
  </si>
  <si>
    <t>У6111-0401-0306(РС135870)'(0,35+0,5).2.16''Устройство герметизации стыков наружных стеновых панелей горизонтальных и вертикальных мастикой тиоколовой'м*</t>
  </si>
  <si>
    <t>29</t>
  </si>
  <si>
    <t>СТПрайс ТОО "ТД "Электроцентр" г.Астана(=13)'4.20'11477:1,12.1,02'Герметик огнезащитный DS1201-DKC, ведр.-20кг'кг*</t>
  </si>
  <si>
    <t>30</t>
  </si>
  <si>
    <t>Ц13-080206-0501'(78.4,02+78.2,23):1000''Лоток металлический штампованный по установленным конструкциям, ширина лотка до 200 мм - комплектно с ЛК'т*</t>
  </si>
  <si>
    <t>31</t>
  </si>
  <si>
    <t>К'Звон Е.В.'Мельникова О.А.*</t>
  </si>
  <si>
    <t>Форма 4</t>
  </si>
  <si>
    <t>Наименование стройки -</t>
  </si>
  <si>
    <t>КОРРЕКТИРОВКА ПРОЕКТА "РЕКОНСТРУКЦИЯ И МОДЕРНИЗАЦИЯ ПРОИЗВОДСТВЕННОГО КОМПЛЕКСА ТОПЛИВОПОДАЧИ. СТРОИТЕЛЬСТВО ДОПОЛНИТЕЛЬНОГО ВВОДА ТРАКТА ТОПЛИВОПОДАЧИ ТОО "ЭКИБАСТУЗСКАЯ ГРЭС-1 ИМ. Б.НУРЖАНОВА"</t>
  </si>
  <si>
    <t>Шифр стройки</t>
  </si>
  <si>
    <t>СИ-36-Р</t>
  </si>
  <si>
    <t>Наименование объекта -</t>
  </si>
  <si>
    <t>ГЛАВНЫЙ КОРПУС</t>
  </si>
  <si>
    <t>Шифр объекта</t>
  </si>
  <si>
    <t>02-01</t>
  </si>
  <si>
    <t xml:space="preserve">ЛОКАЛЬНАЯ СМЕТА   № </t>
  </si>
  <si>
    <t>(Локальный сметный расчет)</t>
  </si>
  <si>
    <t xml:space="preserve">на </t>
  </si>
  <si>
    <t>КАБЕЛЬНОЕ ХОЗЯЙСТВО ЛК №46А, ЛК №46Б, ЛК №47А, ЛК №47Б, ЛК №48А, ЛК №48Б</t>
  </si>
  <si>
    <t xml:space="preserve"> (наименование работ и затрат)</t>
  </si>
  <si>
    <t>Основание:</t>
  </si>
  <si>
    <t>КЖС-2020-02/зк-10-КХ1.3</t>
  </si>
  <si>
    <t>11356,842</t>
  </si>
  <si>
    <t>тыс.тенге</t>
  </si>
  <si>
    <t>Сметная заработная плата</t>
  </si>
  <si>
    <t>2425,617</t>
  </si>
  <si>
    <t>Нормативная трудоемкость</t>
  </si>
  <si>
    <t>0,454</t>
  </si>
  <si>
    <t>тыс.чел-ч</t>
  </si>
  <si>
    <t>Составлен(а) в текущих ценах 2023г.</t>
  </si>
  <si>
    <t>№
п/п</t>
  </si>
  <si>
    <t>Шифр норм,
код ресурса</t>
  </si>
  <si>
    <t>Наименование работ и затрат</t>
  </si>
  <si>
    <t>Единица измерения</t>
  </si>
  <si>
    <t>Количество</t>
  </si>
  <si>
    <t>Стоимость единицы, тенге</t>
  </si>
  <si>
    <t>Общая стоимость, тенге</t>
  </si>
  <si>
    <t>Накладные расходы, тенге</t>
  </si>
  <si>
    <t>Всего стоимость с накладными расходами и сметной прибылью, тенге
тенге</t>
  </si>
  <si>
    <t>эксплуатация машин</t>
  </si>
  <si>
    <t>материалы</t>
  </si>
  <si>
    <t>на единицу измерения</t>
  </si>
  <si>
    <t>по проекту</t>
  </si>
  <si>
    <t>зарплата рабочих-строителей</t>
  </si>
  <si>
    <t>зарплата машинистов</t>
  </si>
  <si>
    <t>оборудование, мебель, инвентарь</t>
  </si>
  <si>
    <t xml:space="preserve">Сметная прибыль, тенге </t>
  </si>
  <si>
    <t xml:space="preserve">Коэффициент 1,2 к нормам затрат труда, времени эксплуатации машин (включая затраты труда рабочих, обслуживающих машины). Производство монтажных работ на действующих предприятиях (в цехах, корпусах, на производственных площадках) при наличии в зоне производства работ действующего технологического оборудования(станков, установок, печей, кранов, конвейеров, разливочных ковшей и т.п.), или разветвленной сети инженерных коммуникаций, или запыленности воздуха, или движения технологического транспорта по внутрицеховым и внутризаводским путям, что непосредственно влияет на выполнение работ по монтажу оборудования. ЭСН РК 8.04-02-2022, приложение Б, таблица Б.1, п.1,
</t>
  </si>
  <si>
    <t>КАБЕЛЬНЫЕ КОНСТРУКЦИИ</t>
  </si>
  <si>
    <t>1308-0206-0501 РСНБ РК 2022 Кзтр и Кэм=1,09 Изм. и доп. вып. 26</t>
  </si>
  <si>
    <t xml:space="preserve">Лоток металлический штампованный по установленным конструкциям, ширина лотка до 200 мм
</t>
  </si>
  <si>
    <t>т</t>
  </si>
  <si>
    <t>--</t>
  </si>
  <si>
    <t>1.1</t>
  </si>
  <si>
    <t>004-0138</t>
  </si>
  <si>
    <t>Затраты труда рабочих (средний разряд работы 3,8). Работы по устройству внутренних и наружных инженерных систем</t>
  </si>
  <si>
    <t>чел.-ч</t>
  </si>
  <si>
    <t>1.2</t>
  </si>
  <si>
    <t>Затраты труда машинистов</t>
  </si>
  <si>
    <t>1.3</t>
  </si>
  <si>
    <t>315-103-0501</t>
  </si>
  <si>
    <t>Установки постоянного тока для ручной дуговой сварки</t>
  </si>
  <si>
    <t>маш.-ч</t>
  </si>
  <si>
    <t>1.4</t>
  </si>
  <si>
    <t>314-102-0101</t>
  </si>
  <si>
    <t>Краны на автомобильном ходу максимальной грузоподъёмностью 10 т</t>
  </si>
  <si>
    <t>в т.ч. , экипаж 1 чел.</t>
  </si>
  <si>
    <t>1.5</t>
  </si>
  <si>
    <t>331-101-0101</t>
  </si>
  <si>
    <t>Автомобили бортовые грузоподъёмностью до 5 т</t>
  </si>
  <si>
    <t>1.6</t>
  </si>
  <si>
    <t>217-101-0107</t>
  </si>
  <si>
    <t>Болт с гайкой и шайбой ГОСТ ISO 8992-2015 строительный</t>
  </si>
  <si>
    <t>1.7</t>
  </si>
  <si>
    <t>217-302-0105</t>
  </si>
  <si>
    <t>Электрод типа Э42А, Э46А, Э50А ГОСТ 9467-75, марки УОНИ-13/45 диаметром 4 мм</t>
  </si>
  <si>
    <t>кг</t>
  </si>
  <si>
    <t>243-907-0803 РСНБ РК 2022</t>
  </si>
  <si>
    <t xml:space="preserve">Лестничный лоток замкового типа НЛ 20-П 1,87 УТ 2,5 оцинкованный, прямой, высотой 70 мм, шириной 200 мм
</t>
  </si>
  <si>
    <t>м</t>
  </si>
  <si>
    <t>1308-0206-0502 РСНБ РК 2022 Кзтр и Кэм=1,09 Изм. и доп. вып. 26</t>
  </si>
  <si>
    <t xml:space="preserve">Лоток металлический штампованный по установленным конструкциям, ширина лотка до 400 мм
</t>
  </si>
  <si>
    <t>3.1</t>
  </si>
  <si>
    <t>3.2</t>
  </si>
  <si>
    <t>3.3</t>
  </si>
  <si>
    <t>3.4</t>
  </si>
  <si>
    <t>3.5</t>
  </si>
  <si>
    <t>3.6</t>
  </si>
  <si>
    <t>3.7</t>
  </si>
  <si>
    <t>243-907-0804 РСНБ РК 2022</t>
  </si>
  <si>
    <t xml:space="preserve">Лестничный лоток замкового типаНЛ 30-П 1,87 УТ 2,5 оцинкованный, прямой, высотой 70 мм, шириной 300 мм
</t>
  </si>
  <si>
    <t>6124-0201-1004 ЕСЦ РСНБ РК 2023</t>
  </si>
  <si>
    <t xml:space="preserve">Полка кабельная, устанавливаемаяна стойках, масса до 0,4 кг
</t>
  </si>
  <si>
    <t>шт</t>
  </si>
  <si>
    <t>5.1</t>
  </si>
  <si>
    <t>004-0140</t>
  </si>
  <si>
    <t>Затраты труда рабочих (средний разряд работы 4). Работы по устройству внутренних и наружных инженерных систем</t>
  </si>
  <si>
    <t>5.2</t>
  </si>
  <si>
    <t>5.3</t>
  </si>
  <si>
    <t>5.4</t>
  </si>
  <si>
    <t>5.5</t>
  </si>
  <si>
    <t>261-201-0351</t>
  </si>
  <si>
    <t>Лак битумный БТ-123 ГОСТ Р 52165-2003</t>
  </si>
  <si>
    <t>243-907-0504 РСНБ РК 2022</t>
  </si>
  <si>
    <t xml:space="preserve">Полки кабельные К 1161 УТ2,5
</t>
  </si>
  <si>
    <t>шт.</t>
  </si>
  <si>
    <t>6124-0201-1005 ЕСЦ РСНБ РК 2023</t>
  </si>
  <si>
    <t xml:space="preserve">Полка кабельная, устанавливаемаяна стойках, масса до 0,7 кг
</t>
  </si>
  <si>
    <t>7.1</t>
  </si>
  <si>
    <t>7.2</t>
  </si>
  <si>
    <t>7.3</t>
  </si>
  <si>
    <t>7.4</t>
  </si>
  <si>
    <t>7.5</t>
  </si>
  <si>
    <t>243-907-0506 РСНБ РК 2022</t>
  </si>
  <si>
    <t xml:space="preserve">Полки кабельные К 1162 УТ2,5
</t>
  </si>
  <si>
    <t>6124-0201-1001 ЕСЦ РСНБ РК 2023</t>
  </si>
  <si>
    <t xml:space="preserve">Стойка сборных кабельных конструкций /без полок/, масса до 1,6 кг
</t>
  </si>
  <si>
    <t>9.1</t>
  </si>
  <si>
    <t>9.2</t>
  </si>
  <si>
    <t>9.3</t>
  </si>
  <si>
    <t>9.4</t>
  </si>
  <si>
    <t>9.5</t>
  </si>
  <si>
    <t>9.6</t>
  </si>
  <si>
    <t>261-404-0208</t>
  </si>
  <si>
    <t>Скобы и накладки для крепления кабеля ГОСТ Р 51177-2017</t>
  </si>
  <si>
    <t>10 шт.</t>
  </si>
  <si>
    <t>9.7</t>
  </si>
  <si>
    <t>9.8</t>
  </si>
  <si>
    <t>243-907-0702 РСНБ РК 2022</t>
  </si>
  <si>
    <t xml:space="preserve">Стойки кабельные К 1150УТ2,5
</t>
  </si>
  <si>
    <t>243-907-3801 РСНБ РК 2022</t>
  </si>
  <si>
    <t xml:space="preserve">Скоба стойки настенной модель К1157 толщиной 2 мм
</t>
  </si>
  <si>
    <t>12.1</t>
  </si>
  <si>
    <t>12.2</t>
  </si>
  <si>
    <t>12.3</t>
  </si>
  <si>
    <t>12.4</t>
  </si>
  <si>
    <t>12.5</t>
  </si>
  <si>
    <t>12.6</t>
  </si>
  <si>
    <t>12.7</t>
  </si>
  <si>
    <t>243-907-6104 РСНБ РК 2022</t>
  </si>
  <si>
    <t xml:space="preserve">Прижим лестничный шириной 27 мм,длиной 40 мм для фиксации лестничных лотков на кронштейнах
</t>
  </si>
  <si>
    <t>261-107-0991 РСНБ РК 2022</t>
  </si>
  <si>
    <t xml:space="preserve">Дюбели гвоздевые полипропиленовые со стальным оцинкованным стержнем размерами 6 мм х 60 мм - дюбель-гвоздь 4,5х40
</t>
  </si>
  <si>
    <t>6124-0201-1013 ЕСЦ РСНБ РК 2023</t>
  </si>
  <si>
    <t xml:space="preserve">Конструкция сварная. Монтаж оборудования
</t>
  </si>
  <si>
    <t>15.1</t>
  </si>
  <si>
    <t>15.2</t>
  </si>
  <si>
    <t>15.3</t>
  </si>
  <si>
    <t>15.4</t>
  </si>
  <si>
    <t>15.5</t>
  </si>
  <si>
    <t>15.6</t>
  </si>
  <si>
    <t>216-101-0101</t>
  </si>
  <si>
    <t>Портландцемент бездобавочный СТ РК 3716-2021 ПЦ 400-Д0</t>
  </si>
  <si>
    <t>15.7</t>
  </si>
  <si>
    <t>15.8</t>
  </si>
  <si>
    <t>1146-0302-0403 РСНБ РК 2022 Кзтр и Кэм=1,12 Изм. и доп. вып. 34</t>
  </si>
  <si>
    <t xml:space="preserve">Стены, полы бетонные толщиной 100 мм. Пробивка отверстий площадью до 500 см2
</t>
  </si>
  <si>
    <t>отверстие</t>
  </si>
  <si>
    <t>16.1</t>
  </si>
  <si>
    <t>006-0139</t>
  </si>
  <si>
    <t>Затраты труда рабочих (средний разряд работы 3,9). Специальные работы в грунтах, работы по устройству конструкций башенного и мачтового типа, промышленных печей и труб</t>
  </si>
  <si>
    <t>16.2</t>
  </si>
  <si>
    <t>16.3</t>
  </si>
  <si>
    <t>315-102-0102</t>
  </si>
  <si>
    <r>
      <t>Компрессоры передвижные с двигателем внутреннего сгорания давлением до 686 кПа (7 атм), производительность 5 м</t>
    </r>
    <r>
      <rPr>
        <vertAlign val="superscript"/>
        <sz val="8"/>
        <color indexed="58"/>
        <rFont val="Tahoma"/>
        <family val="2"/>
        <charset val="204"/>
      </rPr>
      <t>3</t>
    </r>
    <r>
      <rPr>
        <sz val="8"/>
        <color indexed="58"/>
        <rFont val="Tahoma"/>
        <family val="2"/>
        <charset val="204"/>
      </rPr>
      <t>/мин</t>
    </r>
  </si>
  <si>
    <t>16.4</t>
  </si>
  <si>
    <t>343-401-0201</t>
  </si>
  <si>
    <t>Молотки отбойные пневматические при работе от передвижных компрессорных станций</t>
  </si>
  <si>
    <t>1206-0101-2201 РСНБ РК 2022 Кзтр и Кэм=1,09</t>
  </si>
  <si>
    <t xml:space="preserve">Проемы. Обрамление угловой сталью
</t>
  </si>
  <si>
    <t>17.1</t>
  </si>
  <si>
    <t>009-0134</t>
  </si>
  <si>
    <t>Затраты труда рабочих (средний разряд работы 3,4). Работы по ремонту зданий и сооружений</t>
  </si>
  <si>
    <t>17.2</t>
  </si>
  <si>
    <t>17.3</t>
  </si>
  <si>
    <t>314-504-0501</t>
  </si>
  <si>
    <t>Подъемники мачтовые высотой подъема 50 м</t>
  </si>
  <si>
    <t>17.4</t>
  </si>
  <si>
    <t>17.5</t>
  </si>
  <si>
    <t>17.6</t>
  </si>
  <si>
    <t>261-107-0577</t>
  </si>
  <si>
    <t>Электроды, d=6 мм, Э42 ГОСТ 9466-75</t>
  </si>
  <si>
    <t>214-201-0102 РСНБ РК 2022</t>
  </si>
  <si>
    <t xml:space="preserve">Уголок стальной горячекатаный равнополочный из углеродистой стали обыкновенного качества, ширина полки от 40 до 125 мм, толщиной от 2 до 16 мм ГОСТ 535-2005
</t>
  </si>
  <si>
    <t>214-206-0202 РСНБ РК 2022</t>
  </si>
  <si>
    <t xml:space="preserve">Прокат стальной горячекатаный круглый из углеродистой обыкновенной и низколегированной стали диаметром 11-36 мм ГОСТ 535-2005 (ГОСТ 2590-2006)
</t>
  </si>
  <si>
    <t>6124-0201-1201 ЕСЦ РСНБ РК 2023</t>
  </si>
  <si>
    <t xml:space="preserve">Плита асбестоцементная между проложенными кабелями на кабельных конструкциях
</t>
  </si>
  <si>
    <r>
      <t>м</t>
    </r>
    <r>
      <rPr>
        <b/>
        <vertAlign val="superscript"/>
        <sz val="9"/>
        <rFont val="Times New Roman Cyr"/>
        <family val="1"/>
        <charset val="204"/>
      </rPr>
      <t>2</t>
    </r>
  </si>
  <si>
    <t>20.1</t>
  </si>
  <si>
    <t>20.2</t>
  </si>
  <si>
    <t>20.3</t>
  </si>
  <si>
    <t>20.4</t>
  </si>
  <si>
    <t>20.5</t>
  </si>
  <si>
    <t>261-201-0333</t>
  </si>
  <si>
    <t>Краска силикатная ГОСТ 18958-73</t>
  </si>
  <si>
    <t>Прайс ТОО "ТД "Электроцентр" г.Астана</t>
  </si>
  <si>
    <t xml:space="preserve">Плита из минерал.волокна с огнестойким покрытием DP1201-DKC, 1000х500х52мм
</t>
  </si>
  <si>
    <t>6111-0401-0306 ЕСЦ РСНБ РК 2023</t>
  </si>
  <si>
    <t xml:space="preserve">Устройство герметизации стыков наружных стеновых панелей горизонтальных и вертикальных мастикой тиоколовой
</t>
  </si>
  <si>
    <t>22.1</t>
  </si>
  <si>
    <t>002-0135</t>
  </si>
  <si>
    <t>Затраты труда рабочих (средний разряд работы 3,5). Работы по устройству несущих и ограждающих конструкций</t>
  </si>
  <si>
    <t>22.2</t>
  </si>
  <si>
    <t>22.3</t>
  </si>
  <si>
    <t>343-203-0101</t>
  </si>
  <si>
    <t>Шприцы электрические для заделки стыков</t>
  </si>
  <si>
    <t>22.4</t>
  </si>
  <si>
    <t>22.5</t>
  </si>
  <si>
    <t>22.6</t>
  </si>
  <si>
    <t>235-201-0901</t>
  </si>
  <si>
    <t>Мастика каучуко-битумная для холодного применения ГОСТ 30693-2000</t>
  </si>
  <si>
    <t xml:space="preserve">Герметик огнезащитный DS1201-DKC, ведр.-20кг
</t>
  </si>
  <si>
    <t xml:space="preserve">Лоток металлический штампованный по установленным конструкциям, ширина лотка до 200 мм - комплектно с ЛК
</t>
  </si>
  <si>
    <t>24.1</t>
  </si>
  <si>
    <t>24.2</t>
  </si>
  <si>
    <t>24.3</t>
  </si>
  <si>
    <t>24.4</t>
  </si>
  <si>
    <t>24.5</t>
  </si>
  <si>
    <t>24.6</t>
  </si>
  <si>
    <t>24.7</t>
  </si>
  <si>
    <t>ИТОГО ПО СМЕТЕ:</t>
  </si>
  <si>
    <t>В ТОМ ЧИСЛЕ:</t>
  </si>
  <si>
    <t>- Зарплата рабочих строителей</t>
  </si>
  <si>
    <t>- Затраты на эксплуатацию машин</t>
  </si>
  <si>
    <t>- в том числе зарплата машинистов</t>
  </si>
  <si>
    <t>- Материалов, изделий и конструкций</t>
  </si>
  <si>
    <t>Форма 4А АВС-4</t>
  </si>
  <si>
    <t>Объект номер -</t>
  </si>
  <si>
    <t xml:space="preserve"> ЛОКАЛЬНЫЙ   РЕСУРСНЫЙ   СМЕТНЫЙ   РАСЧЕТ</t>
  </si>
  <si>
    <t>№ СИ-36-2023-10-КХ1.3 ЛС71</t>
  </si>
  <si>
    <t>(локальная смета)</t>
  </si>
  <si>
    <t>на</t>
  </si>
  <si>
    <t>Составлен в текущих ценах 2023г.</t>
  </si>
  <si>
    <t>тенге</t>
  </si>
  <si>
    <t>№ п/п</t>
  </si>
  <si>
    <t>Шифр ресурсов</t>
  </si>
  <si>
    <t>Наименование ресурсов, оборудования, конструкций, изделий и  деталей</t>
  </si>
  <si>
    <t>Количество единиц</t>
  </si>
  <si>
    <t>на единицу</t>
  </si>
  <si>
    <t>общая</t>
  </si>
  <si>
    <t>ЗАТРАТЫ ТРУДА ПО СПЕЦИАЛЬНОСТЯМ</t>
  </si>
  <si>
    <t>в т.ч. № п.п. сметы:</t>
  </si>
  <si>
    <t>ИТОГО ЗАТРАТЫ ТРУДА ПО СПЕЦИАЛЬНОСТЯМ (ПО СМЕТЕ)</t>
  </si>
  <si>
    <t>Затраты труда рабочих</t>
  </si>
  <si>
    <t>ТРУДОВЫЕ РЕСУРСЫ</t>
  </si>
  <si>
    <t>АВС 000003</t>
  </si>
  <si>
    <t>чел-ч</t>
  </si>
  <si>
    <t>(95128,27)</t>
  </si>
  <si>
    <t>ИТОГО ТРУДОВЫЕ РЕСУРСЫ (ПО СМЕТЕ)</t>
  </si>
  <si>
    <t>СТРОИТЕЛЬНЫЕ МАШИНЫ И МЕХАНИЗМЫ</t>
  </si>
  <si>
    <t>СТРОИТЕЛЬНЫЕ МАШИНЫ И МЕХАНИЗМЫ (ЗАТРАТ 69,2346% ПРИ ПОРОГЕ 80%)</t>
  </si>
  <si>
    <t>в т.ч. затраты труда машинистов, экипаж 1 чел.</t>
  </si>
  <si>
    <t>СТРОИТЕЛЬНЫЕ МАШИНЫ И МЕХАНИЗМЫ (ЗАТРАТ 16,8675% ПРИ ПОРОГЕ 15%)</t>
  </si>
  <si>
    <r>
      <t>Компрессоры передвижные с двигателем внутреннего сгорания давлением до 686 кПа (7 атм), производительность 5 м</t>
    </r>
    <r>
      <rPr>
        <vertAlign val="superscript"/>
        <sz val="10"/>
        <color indexed="63"/>
        <rFont val="Times New Roman"/>
        <family val="1"/>
        <charset val="204"/>
      </rPr>
      <t>3</t>
    </r>
    <r>
      <rPr>
        <sz val="10"/>
        <color indexed="63"/>
        <rFont val="Times New Roman"/>
        <family val="1"/>
        <charset val="204"/>
      </rPr>
      <t>/мин</t>
    </r>
  </si>
  <si>
    <t>СТРОИТЕЛЬНЫЕ МАШИНЫ И МЕХАНИЗМЫ (ЗАТРАТ 13,8979% ПРИ ПОРОГЕ 5%)</t>
  </si>
  <si>
    <t>ИТОГО СТРОИТЕЛЬНЫЕ МАШИНЫ И МЕХАНИЗМЫ (ПО СМЕТЕ)</t>
  </si>
  <si>
    <t>СТРОИТЕЛЬНЫЕ МАТЕРИАЛЫ И КОНСТРУКЦИИ</t>
  </si>
  <si>
    <t>СТРОИТЕЛЬНЫЕ МАТЕРИАЛЫ И КОНСТРУКЦИИ (ЗАТРАТ 76,8072% ПРИ ПОРОГЕ 80%)</t>
  </si>
  <si>
    <r>
      <t xml:space="preserve">243-907-0803
</t>
    </r>
    <r>
      <rPr>
        <i/>
        <sz val="7.5"/>
        <color indexed="63"/>
        <rFont val="Times New Roman"/>
        <family val="1"/>
        <charset val="204"/>
      </rPr>
      <t>РСНБ РК 2022</t>
    </r>
  </si>
  <si>
    <t>Лестничный лоток замкового типа НЛ 20-П 1,87 УТ 2,5 оцинкованный, прямой, высотой 70 мм, шириной 200 мм</t>
  </si>
  <si>
    <r>
      <t xml:space="preserve">243-907-0804
</t>
    </r>
    <r>
      <rPr>
        <i/>
        <sz val="7.5"/>
        <color indexed="63"/>
        <rFont val="Times New Roman"/>
        <family val="1"/>
        <charset val="204"/>
      </rPr>
      <t>РСНБ РК 2022</t>
    </r>
  </si>
  <si>
    <t>Лестничный лоток замкового типаНЛ 30-П 1,87 УТ 2,5 оцинкованный, прямой, высотой 70 мм, шириной 300 мм</t>
  </si>
  <si>
    <t>СТПрайс</t>
  </si>
  <si>
    <t>Плита из минерал.волокна с огнестойким покрытием DP1201-DKC, 1000х500х52мм</t>
  </si>
  <si>
    <t>Герметик огнезащитный DS1201-DKC, ведр.-20кг</t>
  </si>
  <si>
    <t>СТРОИТЕЛЬНЫЕ МАТЕРИАЛЫ И КОНСТРУКЦИИ (ЗАТРАТ 12,5054% ПРИ ПОРОГЕ 15%)</t>
  </si>
  <si>
    <t>243-907-6104</t>
  </si>
  <si>
    <t>Прижим лестничный шириной 27 мм, длиной 40 мм для фиксации лестничных лотков на кронштейнах</t>
  </si>
  <si>
    <r>
      <t xml:space="preserve">243-907-0504
</t>
    </r>
    <r>
      <rPr>
        <i/>
        <sz val="7.5"/>
        <color indexed="63"/>
        <rFont val="Times New Roman"/>
        <family val="1"/>
        <charset val="204"/>
      </rPr>
      <t>РСНБ РК 2022</t>
    </r>
  </si>
  <si>
    <t>Полки кабельные К 1161 УТ2,5</t>
  </si>
  <si>
    <t>СТРОИТЕЛЬНЫЕ МАТЕРИАЛЫ И КОНСТРУКЦИИ (ЗАТРАТ 10,6874% ПРИ ПОРОГЕ 5%)</t>
  </si>
  <si>
    <r>
      <t xml:space="preserve">243-907-0702
</t>
    </r>
    <r>
      <rPr>
        <i/>
        <sz val="7.5"/>
        <color indexed="63"/>
        <rFont val="Times New Roman"/>
        <family val="1"/>
        <charset val="204"/>
      </rPr>
      <t>РСНБ РК 2022</t>
    </r>
  </si>
  <si>
    <t>Стойки кабельные К 1150УТ2,5</t>
  </si>
  <si>
    <r>
      <t xml:space="preserve">243-907-0506
</t>
    </r>
    <r>
      <rPr>
        <i/>
        <sz val="7.5"/>
        <color indexed="63"/>
        <rFont val="Times New Roman"/>
        <family val="1"/>
        <charset val="204"/>
      </rPr>
      <t>РСНБ РК 2022</t>
    </r>
  </si>
  <si>
    <t>Полки кабельные К 1162 УТ2,5</t>
  </si>
  <si>
    <t>243-907-3801</t>
  </si>
  <si>
    <t>Скоба стойки настенной модель К1157 толщиной 2 мм</t>
  </si>
  <si>
    <r>
      <t xml:space="preserve">214-201-0102
</t>
    </r>
    <r>
      <rPr>
        <i/>
        <sz val="7.5"/>
        <color indexed="63"/>
        <rFont val="Times New Roman"/>
        <family val="1"/>
        <charset val="204"/>
      </rPr>
      <t>РСНБ РК 2022</t>
    </r>
  </si>
  <si>
    <t>Уголок стальной горячекатаный равнополочный из углеродистой стали обыкновенного качества, ширина полки от 40 до 125 мм, толщиной от 2 до 16 мм ГОСТ 535-2005</t>
  </si>
  <si>
    <r>
      <t xml:space="preserve">214-206-0202
</t>
    </r>
    <r>
      <rPr>
        <i/>
        <sz val="7.5"/>
        <color indexed="63"/>
        <rFont val="Times New Roman"/>
        <family val="1"/>
        <charset val="204"/>
      </rPr>
      <t>РСНБ РК 2022</t>
    </r>
  </si>
  <si>
    <t>Прокат стальной горячекатаный круглый из углеродистой обыкновенной и низколегированной стали диаметром 11-36 мм ГОСТ 535-2005 (ГОСТ 2590-2006)</t>
  </si>
  <si>
    <r>
      <t xml:space="preserve">261-107-0991
</t>
    </r>
    <r>
      <rPr>
        <i/>
        <sz val="7.5"/>
        <color indexed="63"/>
        <rFont val="Times New Roman"/>
        <family val="1"/>
        <charset val="204"/>
      </rPr>
      <t>РСНБ РК 2022</t>
    </r>
  </si>
  <si>
    <t>Дюбели гвоздевые полипропиленовые со стальным оцинкованным стержнем размерами 6 мм х 60 мм - дюбель-гвоздь 4,5х40</t>
  </si>
  <si>
    <t>ИТОГО СТРОИТЕЛЬНЫЕ МАТЕРИАЛЫ И КОНСТРУКЦИИ (ПО СМЕТЕ)</t>
  </si>
  <si>
    <t>ИТОГО ПРЯМЫЕ ЗАТРАТЫ (по смете)</t>
  </si>
  <si>
    <t>Накладные расходы (по смете)</t>
  </si>
  <si>
    <t>ИТОГО С НАКЛАДНЫМИ РАСХОДАМИ</t>
  </si>
  <si>
    <t>Сметная прибыль (по смете)</t>
  </si>
  <si>
    <t>Стоимость оборудования</t>
  </si>
  <si>
    <t>Материалы</t>
  </si>
  <si>
    <t>Накладные расходы</t>
  </si>
  <si>
    <t>Сметная прибыль</t>
  </si>
  <si>
    <t>ИТОГО ПО СМЕТЕ</t>
  </si>
  <si>
    <t>работа</t>
  </si>
  <si>
    <t>матер</t>
  </si>
  <si>
    <t>обор</t>
  </si>
  <si>
    <t>оборуд.</t>
  </si>
  <si>
    <t>Затраты  на организацию и управление строительно-монтажными работами по стройке в целом (общеплощадочные затраты)10,8%</t>
  </si>
  <si>
    <t>К=</t>
  </si>
  <si>
    <t>матер.</t>
  </si>
  <si>
    <t>Итого с учетом затрат на организацию</t>
  </si>
  <si>
    <t>Сметная прибыль 5%</t>
  </si>
  <si>
    <t>Непредвиденные работы и затраты-3,0%</t>
  </si>
  <si>
    <t>Итого с учетом см.прибыли и непредв.затрат</t>
  </si>
  <si>
    <t>Средний коэффициент (2024-2025гг.)   -  1,0958</t>
  </si>
  <si>
    <t>Коэффициент условной скидки 0,989307</t>
  </si>
  <si>
    <t>НДС 12%</t>
  </si>
  <si>
    <t>Всего с учетом НДС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</si>
</sst>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-* #,##0.00\ _₽_-;\-* #,##0.00\ _₽_-;_-* &quot;-&quot;??\ _₽_-;_-@_-"/>
    <numFmt numFmtId="165" formatCode="#,##0.0######"/>
    <numFmt numFmtId="166" formatCode="0.000"/>
    <numFmt numFmtId="167" formatCode="0.0000"/>
    <numFmt numFmtId="168" formatCode="_-* #,##0\ _₽_-;\-* #,##0\ _₽_-;_-* &quot;-&quot;??\ _₽_-;_-@_-"/>
    <numFmt numFmtId="169" formatCode="#,##0.00000"/>
    <numFmt numFmtId="170" formatCode="#,##0.0000"/>
    <numFmt numFmtId="171" formatCode="#,##0.000000"/>
  </numFmts>
  <fonts count="55"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9"/>
      <name val="Times New Roman Cyr"/>
      <family val="1"/>
      <charset val="204"/>
    </font>
    <font>
      <sz val="9"/>
      <name val="Arial Cyr"/>
      <family val="2"/>
      <charset val="204"/>
    </font>
    <font>
      <b/>
      <sz val="12"/>
      <name val="Times New Roman Cyr"/>
      <family val="1"/>
      <charset val="204"/>
    </font>
    <font>
      <b/>
      <sz val="9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charset val="204"/>
    </font>
    <font>
      <b/>
      <sz val="11"/>
      <name val="Times New Roman Cyr"/>
      <charset val="204"/>
    </font>
    <font>
      <sz val="8"/>
      <name val="Arial Cyr"/>
      <family val="2"/>
      <charset val="204"/>
    </font>
    <font>
      <b/>
      <sz val="12"/>
      <name val="Times New Roman"/>
      <family val="1"/>
      <charset val="204"/>
    </font>
    <font>
      <sz val="9"/>
      <name val="Times New Roman"/>
      <family val="1"/>
      <charset val="204"/>
    </font>
    <font>
      <sz val="9"/>
      <color indexed="23"/>
      <name val="Times New Roman"/>
      <family val="1"/>
      <charset val="204"/>
    </font>
    <font>
      <sz val="9"/>
      <name val="Lucida Console"/>
      <family val="3"/>
      <charset val="204"/>
    </font>
    <font>
      <sz val="10"/>
      <name val="Courier New"/>
      <family val="3"/>
      <charset val="204"/>
    </font>
    <font>
      <vertAlign val="superscript"/>
      <sz val="10"/>
      <name val="Courier New"/>
      <family val="3"/>
      <charset val="204"/>
    </font>
    <font>
      <sz val="9"/>
      <color rgb="FF808080"/>
      <name val="Times New Roman Cyr"/>
      <family val="1"/>
      <charset val="204"/>
    </font>
    <font>
      <sz val="10"/>
      <color rgb="FF808080"/>
      <name val="Times New Roman Cyr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3"/>
      <name val="Times New Roman Cyr"/>
      <charset val="204"/>
    </font>
    <font>
      <sz val="11"/>
      <name val="Times New Roman Cyr"/>
      <family val="1"/>
      <charset val="204"/>
    </font>
    <font>
      <i/>
      <sz val="11"/>
      <color rgb="FF808080"/>
      <name val="Times New Roman Cyr"/>
      <charset val="204"/>
    </font>
    <font>
      <b/>
      <sz val="10"/>
      <name val="Times New Roman Cyr"/>
      <family val="1"/>
      <charset val="204"/>
    </font>
    <font>
      <i/>
      <sz val="9"/>
      <color rgb="FF808080"/>
      <name val="Times New Roman Cyr"/>
      <charset val="204"/>
    </font>
    <font>
      <sz val="8"/>
      <color rgb="FF800080"/>
      <name val="Tahoma"/>
      <family val="2"/>
      <charset val="204"/>
    </font>
    <font>
      <sz val="8"/>
      <color rgb="FF003300"/>
      <name val="Tahoma"/>
      <family val="2"/>
      <charset val="204"/>
    </font>
    <font>
      <sz val="7.5"/>
      <color rgb="FFFFFFFF"/>
      <name val="Tahoma"/>
      <family val="2"/>
      <charset val="204"/>
    </font>
    <font>
      <sz val="7.5"/>
      <color rgb="FF808080"/>
      <name val="Tahoma"/>
      <family val="2"/>
      <charset val="204"/>
    </font>
    <font>
      <sz val="8"/>
      <color rgb="FF000080"/>
      <name val="Tahoma"/>
      <family val="2"/>
      <charset val="204"/>
    </font>
    <font>
      <vertAlign val="superscript"/>
      <sz val="8"/>
      <color indexed="58"/>
      <name val="Tahoma"/>
      <family val="2"/>
      <charset val="204"/>
    </font>
    <font>
      <sz val="8"/>
      <color indexed="58"/>
      <name val="Tahoma"/>
      <family val="2"/>
      <charset val="204"/>
    </font>
    <font>
      <b/>
      <vertAlign val="superscript"/>
      <sz val="9"/>
      <name val="Times New Roman Cyr"/>
      <family val="1"/>
      <charset val="204"/>
    </font>
    <font>
      <sz val="9"/>
      <color rgb="FF333333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color rgb="FF333333"/>
      <name val="Times New Roman"/>
      <family val="1"/>
      <charset val="204"/>
    </font>
    <font>
      <sz val="10"/>
      <color rgb="FF333333"/>
      <name val="Arial Cyr"/>
      <family val="2"/>
      <charset val="204"/>
    </font>
    <font>
      <sz val="10"/>
      <color rgb="FF808080"/>
      <name val="Times New Roman"/>
      <family val="1"/>
      <charset val="204"/>
    </font>
    <font>
      <b/>
      <sz val="10"/>
      <name val="Arial Cyr"/>
      <family val="2"/>
      <charset val="204"/>
    </font>
    <font>
      <i/>
      <sz val="10"/>
      <color rgb="FF333333"/>
      <name val="Times New Roman"/>
      <family val="1"/>
      <charset val="204"/>
    </font>
    <font>
      <sz val="9"/>
      <color rgb="FF808080"/>
      <name val="Times New Roman"/>
      <family val="1"/>
      <charset val="204"/>
    </font>
    <font>
      <sz val="9"/>
      <color rgb="FFFFFFFF"/>
      <name val="Times New Roman"/>
      <family val="1"/>
      <charset val="204"/>
    </font>
    <font>
      <vertAlign val="superscript"/>
      <sz val="10"/>
      <color indexed="63"/>
      <name val="Times New Roman"/>
      <family val="1"/>
      <charset val="204"/>
    </font>
    <font>
      <sz val="10"/>
      <color indexed="63"/>
      <name val="Times New Roman"/>
      <family val="1"/>
      <charset val="204"/>
    </font>
    <font>
      <i/>
      <sz val="7.5"/>
      <color indexed="63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9"/>
      <color rgb="FFFF0000"/>
      <name val="Arial"/>
      <family val="2"/>
      <charset val="204"/>
    </font>
    <font>
      <sz val="9"/>
      <color rgb="FFFF0000"/>
      <name val="Arial"/>
      <family val="2"/>
      <charset val="204"/>
    </font>
    <font>
      <sz val="9"/>
      <name val="Times New Roman Cyr"/>
      <charset val="1"/>
    </font>
  </fonts>
  <fills count="10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1C1"/>
        <bgColor rgb="FFFFC1C1"/>
      </patternFill>
    </fill>
    <fill>
      <patternFill patternType="solid">
        <fgColor rgb="FFFFFFC1"/>
        <bgColor rgb="FFFFFFC1"/>
      </patternFill>
    </fill>
    <fill>
      <patternFill patternType="solid">
        <fgColor rgb="FFC1FFC1"/>
        <bgColor rgb="FFC1FFC1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C0C0"/>
      </left>
      <right/>
      <top style="thin">
        <color indexed="64"/>
      </top>
      <bottom style="hair">
        <color rgb="FFC0C0C0"/>
      </bottom>
      <diagonal/>
    </border>
    <border>
      <left/>
      <right style="hair">
        <color rgb="FFC0C0C0"/>
      </right>
      <top style="thin">
        <color indexed="64"/>
      </top>
      <bottom style="hair">
        <color rgb="FFC0C0C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/>
      <top/>
      <bottom style="hair">
        <color rgb="FFCCCCCC"/>
      </bottom>
      <diagonal/>
    </border>
    <border>
      <left/>
      <right/>
      <top style="hair">
        <color rgb="FFCCCCCC"/>
      </top>
      <bottom/>
      <diagonal/>
    </border>
    <border>
      <left/>
      <right/>
      <top/>
      <bottom style="hair">
        <color rgb="FFC0C0C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rgb="FFCCCCCC"/>
      </bottom>
      <diagonal/>
    </border>
    <border>
      <left/>
      <right style="thin">
        <color rgb="FF000000"/>
      </right>
      <top/>
      <bottom style="hair">
        <color rgb="FFCCCCCC"/>
      </bottom>
      <diagonal/>
    </border>
    <border>
      <left/>
      <right style="hair">
        <color rgb="FFCCCCCC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rgb="FFCCCCCC"/>
      </left>
      <right/>
      <top style="thin">
        <color indexed="64"/>
      </top>
      <bottom style="hair">
        <color rgb="FFCCCCCC"/>
      </bottom>
      <diagonal/>
    </border>
    <border>
      <left/>
      <right/>
      <top style="thin">
        <color indexed="64"/>
      </top>
      <bottom style="hair">
        <color rgb="FFCCCCCC"/>
      </bottom>
      <diagonal/>
    </border>
    <border>
      <left/>
      <right style="hair">
        <color rgb="FFCCCCCC"/>
      </right>
      <top style="thin">
        <color indexed="64"/>
      </top>
      <bottom style="hair">
        <color rgb="FFCCCCCC"/>
      </bottom>
      <diagonal/>
    </border>
    <border>
      <left style="hair">
        <color rgb="FFCCCCCC"/>
      </left>
      <right/>
      <top style="hair">
        <color rgb="FFCCCCCC"/>
      </top>
      <bottom style="hair">
        <color rgb="FFCCCCCC"/>
      </bottom>
      <diagonal/>
    </border>
    <border>
      <left/>
      <right/>
      <top style="hair">
        <color rgb="FFCCCCCC"/>
      </top>
      <bottom style="hair">
        <color rgb="FFCCCCCC"/>
      </bottom>
      <diagonal/>
    </border>
    <border>
      <left/>
      <right style="hair">
        <color rgb="FFCCCCCC"/>
      </right>
      <top style="hair">
        <color rgb="FFCCCCCC"/>
      </top>
      <bottom style="hair">
        <color rgb="FFCCCCCC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/>
      <diagonal/>
    </border>
    <border>
      <left/>
      <right style="hair">
        <color rgb="FFCCCCCC"/>
      </right>
      <top style="hair">
        <color rgb="FFCCCCCC"/>
      </top>
      <bottom/>
      <diagonal/>
    </border>
    <border>
      <left style="hair">
        <color rgb="FFCCCCCC"/>
      </left>
      <right style="hair">
        <color rgb="FFCCCCCC"/>
      </right>
      <top/>
      <bottom/>
      <diagonal/>
    </border>
    <border>
      <left/>
      <right style="hair">
        <color rgb="FFCCCCCC"/>
      </right>
      <top/>
      <bottom/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  <diagonal/>
    </border>
    <border>
      <left style="hair">
        <color rgb="FFCCCCCC"/>
      </left>
      <right style="hair">
        <color rgb="FFCCCCCC"/>
      </right>
      <top/>
      <bottom style="hair">
        <color rgb="FFCCCCCC"/>
      </bottom>
      <diagonal/>
    </border>
    <border>
      <left/>
      <right style="hair">
        <color rgb="FFCCCCCC"/>
      </right>
      <top/>
      <bottom style="hair">
        <color rgb="FFCCCCCC"/>
      </bottom>
      <diagonal/>
    </border>
    <border>
      <left style="hair">
        <color rgb="FFCCCCCC"/>
      </left>
      <right/>
      <top style="double">
        <color rgb="FFCCCCCC"/>
      </top>
      <bottom/>
      <diagonal/>
    </border>
    <border>
      <left/>
      <right/>
      <top style="double">
        <color rgb="FFCCCCCC"/>
      </top>
      <bottom/>
      <diagonal/>
    </border>
    <border>
      <left/>
      <right style="hair">
        <color rgb="FFCCCCCC"/>
      </right>
      <top style="double">
        <color rgb="FFCCCCCC"/>
      </top>
      <bottom/>
      <diagonal/>
    </border>
    <border>
      <left/>
      <right style="hair">
        <color rgb="FFCCCCCC"/>
      </right>
      <top style="double">
        <color rgb="FFCCCCCC"/>
      </top>
      <bottom style="hair">
        <color rgb="FFCCCCCC"/>
      </bottom>
      <diagonal/>
    </border>
    <border>
      <left style="hair">
        <color rgb="FFCCCCCC"/>
      </left>
      <right/>
      <top/>
      <bottom style="hair">
        <color rgb="FFCCCCCC"/>
      </bottom>
      <diagonal/>
    </border>
    <border>
      <left style="hair">
        <color indexed="64"/>
      </left>
      <right/>
      <top style="thin">
        <color indexed="64"/>
      </top>
      <bottom style="hair">
        <color rgb="FF000000"/>
      </bottom>
      <diagonal/>
    </border>
    <border>
      <left/>
      <right/>
      <top style="thin">
        <color indexed="64"/>
      </top>
      <bottom style="hair">
        <color rgb="FF000000"/>
      </bottom>
      <diagonal/>
    </border>
    <border>
      <left/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333333"/>
      </top>
      <bottom style="hair">
        <color rgb="FF333333"/>
      </bottom>
      <diagonal/>
    </border>
    <border>
      <left/>
      <right style="hair">
        <color rgb="FF000000"/>
      </right>
      <top style="hair">
        <color rgb="FF333333"/>
      </top>
      <bottom style="hair">
        <color rgb="FF333333"/>
      </bottom>
      <diagonal/>
    </border>
    <border>
      <left style="hair">
        <color indexed="64"/>
      </left>
      <right style="hair">
        <color indexed="64"/>
      </right>
      <top style="hair">
        <color rgb="FF808080"/>
      </top>
      <bottom style="hair">
        <color rgb="FF808080"/>
      </bottom>
      <diagonal/>
    </border>
    <border>
      <left/>
      <right style="hair">
        <color indexed="64"/>
      </right>
      <top style="hair">
        <color rgb="FF808080"/>
      </top>
      <bottom style="hair">
        <color rgb="FF808080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rgb="FF000000"/>
      </bottom>
      <diagonal/>
    </border>
    <border>
      <left/>
      <right style="hair">
        <color rgb="FF000000"/>
      </right>
      <top style="hair">
        <color indexed="64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808080"/>
      </top>
      <bottom style="hair">
        <color rgb="FF000000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164" fontId="49" fillId="0" borderId="0" applyFont="0" applyFill="0" applyBorder="0" applyAlignment="0" applyProtection="0"/>
  </cellStyleXfs>
  <cellXfs count="324">
    <xf numFmtId="0" fontId="0" fillId="0" borderId="0" xfId="0"/>
    <xf numFmtId="0" fontId="2" fillId="0" borderId="0" xfId="1" applyFont="1"/>
    <xf numFmtId="0" fontId="3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0" fontId="1" fillId="0" borderId="0" xfId="1" applyFont="1"/>
    <xf numFmtId="0" fontId="5" fillId="0" borderId="0" xfId="1" applyFont="1" applyAlignment="1">
      <alignment horizontal="center"/>
    </xf>
    <xf numFmtId="0" fontId="6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horizontal="right" vertical="top"/>
    </xf>
    <xf numFmtId="0" fontId="8" fillId="0" borderId="0" xfId="1" applyFont="1" applyAlignment="1">
      <alignment wrapText="1"/>
    </xf>
    <xf numFmtId="0" fontId="2" fillId="0" borderId="0" xfId="1" applyFont="1" applyAlignment="1">
      <alignment horizontal="right"/>
    </xf>
    <xf numFmtId="0" fontId="6" fillId="0" borderId="0" xfId="1" applyFont="1" applyAlignment="1">
      <alignment horizontal="right"/>
    </xf>
    <xf numFmtId="0" fontId="2" fillId="0" borderId="0" xfId="1" applyFont="1" applyAlignment="1">
      <alignment wrapText="1"/>
    </xf>
    <xf numFmtId="0" fontId="2" fillId="0" borderId="0" xfId="1" applyFont="1" applyAlignment="1">
      <alignment horizontal="right" indent="1"/>
    </xf>
    <xf numFmtId="0" fontId="2" fillId="2" borderId="9" xfId="1" applyFont="1" applyFill="1" applyBorder="1" applyAlignment="1">
      <alignment horizontal="center" vertical="center" wrapText="1"/>
    </xf>
    <xf numFmtId="0" fontId="2" fillId="2" borderId="9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/>
    </xf>
    <xf numFmtId="0" fontId="5" fillId="2" borderId="11" xfId="1" applyFont="1" applyFill="1" applyBorder="1" applyAlignment="1">
      <alignment horizontal="center"/>
    </xf>
    <xf numFmtId="0" fontId="5" fillId="2" borderId="11" xfId="1" applyFont="1" applyFill="1" applyBorder="1" applyAlignment="1">
      <alignment horizontal="center" wrapText="1"/>
    </xf>
    <xf numFmtId="0" fontId="2" fillId="0" borderId="15" xfId="1" applyFont="1" applyBorder="1" applyAlignment="1">
      <alignment horizontal="center" vertical="top"/>
    </xf>
    <xf numFmtId="0" fontId="2" fillId="0" borderId="16" xfId="1" applyFont="1" applyBorder="1" applyAlignment="1">
      <alignment horizontal="left" vertical="top" wrapText="1"/>
    </xf>
    <xf numFmtId="0" fontId="2" fillId="0" borderId="16" xfId="1" applyFont="1" applyBorder="1" applyAlignment="1">
      <alignment horizontal="center" vertical="top" wrapText="1"/>
    </xf>
    <xf numFmtId="0" fontId="2" fillId="0" borderId="16" xfId="1" applyFont="1" applyBorder="1" applyAlignment="1">
      <alignment horizontal="right" vertical="top"/>
    </xf>
    <xf numFmtId="1" fontId="2" fillId="0" borderId="16" xfId="1" applyNumberFormat="1" applyFont="1" applyBorder="1" applyAlignment="1">
      <alignment horizontal="right" vertical="top"/>
    </xf>
    <xf numFmtId="1" fontId="2" fillId="0" borderId="16" xfId="1" applyNumberFormat="1" applyFont="1" applyBorder="1" applyAlignment="1">
      <alignment horizontal="right" vertical="top" wrapText="1"/>
    </xf>
    <xf numFmtId="3" fontId="2" fillId="0" borderId="16" xfId="1" applyNumberFormat="1" applyFont="1" applyBorder="1" applyAlignment="1">
      <alignment horizontal="right" vertical="top"/>
    </xf>
    <xf numFmtId="0" fontId="5" fillId="2" borderId="12" xfId="1" applyFont="1" applyFill="1" applyBorder="1" applyAlignment="1">
      <alignment vertical="top"/>
    </xf>
    <xf numFmtId="0" fontId="5" fillId="2" borderId="14" xfId="1" applyFont="1" applyFill="1" applyBorder="1" applyAlignment="1">
      <alignment horizontal="left" vertical="top" wrapText="1" indent="2"/>
    </xf>
    <xf numFmtId="0" fontId="5" fillId="2" borderId="14" xfId="1" applyFont="1" applyFill="1" applyBorder="1" applyAlignment="1">
      <alignment horizontal="center" vertical="top" wrapText="1"/>
    </xf>
    <xf numFmtId="0" fontId="5" fillId="2" borderId="14" xfId="1" applyFont="1" applyFill="1" applyBorder="1" applyAlignment="1">
      <alignment horizontal="right" vertical="top"/>
    </xf>
    <xf numFmtId="1" fontId="5" fillId="2" borderId="14" xfId="1" applyNumberFormat="1" applyFont="1" applyFill="1" applyBorder="1" applyAlignment="1">
      <alignment horizontal="right" vertical="top"/>
    </xf>
    <xf numFmtId="1" fontId="5" fillId="2" borderId="14" xfId="1" applyNumberFormat="1" applyFont="1" applyFill="1" applyBorder="1" applyAlignment="1">
      <alignment horizontal="right" vertical="top" wrapText="1"/>
    </xf>
    <xf numFmtId="3" fontId="5" fillId="2" borderId="14" xfId="1" applyNumberFormat="1" applyFont="1" applyFill="1" applyBorder="1" applyAlignment="1">
      <alignment horizontal="right" vertical="top"/>
    </xf>
    <xf numFmtId="0" fontId="2" fillId="0" borderId="0" xfId="1" applyFont="1" applyAlignment="1">
      <alignment horizontal="center" vertical="top"/>
    </xf>
    <xf numFmtId="0" fontId="2" fillId="0" borderId="0" xfId="1" applyFont="1" applyAlignment="1">
      <alignment horizontal="left" vertical="top" wrapText="1" indent="1"/>
    </xf>
    <xf numFmtId="0" fontId="2" fillId="0" borderId="0" xfId="1" applyFont="1" applyAlignment="1">
      <alignment horizontal="left" vertical="top" indent="1"/>
    </xf>
    <xf numFmtId="0" fontId="1" fillId="0" borderId="0" xfId="1" applyFont="1" applyAlignment="1">
      <alignment wrapText="1"/>
    </xf>
    <xf numFmtId="0" fontId="3" fillId="0" borderId="0" xfId="1" applyFont="1"/>
    <xf numFmtId="0" fontId="10" fillId="0" borderId="0" xfId="1" applyFont="1" applyAlignment="1">
      <alignment horizontal="left" vertical="top" indent="2"/>
    </xf>
    <xf numFmtId="0" fontId="11" fillId="2" borderId="18" xfId="1" applyFont="1" applyFill="1" applyBorder="1" applyAlignment="1">
      <alignment horizontal="center" vertical="center" wrapText="1"/>
    </xf>
    <xf numFmtId="0" fontId="11" fillId="2" borderId="7" xfId="1" applyFont="1" applyFill="1" applyBorder="1" applyAlignment="1">
      <alignment horizontal="center" vertical="center" wrapText="1"/>
    </xf>
    <xf numFmtId="0" fontId="13" fillId="0" borderId="21" xfId="1" applyFont="1" applyBorder="1" applyAlignment="1">
      <alignment horizontal="center" vertical="top"/>
    </xf>
    <xf numFmtId="0" fontId="14" fillId="0" borderId="22" xfId="1" applyFont="1" applyBorder="1" applyAlignment="1">
      <alignment horizontal="left" vertical="top" wrapText="1"/>
    </xf>
    <xf numFmtId="0" fontId="6" fillId="0" borderId="0" xfId="2" applyFont="1" applyAlignment="1">
      <alignment vertical="top"/>
    </xf>
    <xf numFmtId="0" fontId="6" fillId="0" borderId="0" xfId="2" applyFont="1" applyAlignment="1">
      <alignment horizontal="right" vertical="top"/>
    </xf>
    <xf numFmtId="0" fontId="6" fillId="0" borderId="0" xfId="2" applyFont="1" applyAlignment="1"/>
    <xf numFmtId="0" fontId="6" fillId="0" borderId="0" xfId="2" applyFont="1" applyAlignment="1">
      <alignment horizontal="right"/>
    </xf>
    <xf numFmtId="0" fontId="2" fillId="0" borderId="0" xfId="2" applyFont="1" applyAlignment="1">
      <alignment vertical="top"/>
    </xf>
    <xf numFmtId="0" fontId="16" fillId="0" borderId="0" xfId="2" applyFont="1" applyAlignment="1">
      <alignment horizontal="left" vertical="top"/>
    </xf>
    <xf numFmtId="0" fontId="18" fillId="0" borderId="0" xfId="2" applyFont="1" applyAlignment="1">
      <alignment horizontal="center" vertical="top"/>
    </xf>
    <xf numFmtId="0" fontId="18" fillId="0" borderId="0" xfId="2" applyFont="1" applyAlignment="1">
      <alignment vertical="top"/>
    </xf>
    <xf numFmtId="0" fontId="21" fillId="0" borderId="0" xfId="2" applyFont="1" applyAlignment="1">
      <alignment horizontal="right" vertical="top"/>
    </xf>
    <xf numFmtId="0" fontId="6" fillId="0" borderId="0" xfId="2" applyFont="1" applyAlignment="1">
      <alignment horizontal="left"/>
    </xf>
    <xf numFmtId="0" fontId="6" fillId="0" borderId="0" xfId="2" applyFont="1"/>
    <xf numFmtId="0" fontId="6" fillId="0" borderId="25" xfId="2" applyFont="1" applyBorder="1" applyAlignment="1">
      <alignment vertical="top"/>
    </xf>
    <xf numFmtId="0" fontId="6" fillId="0" borderId="25" xfId="2" applyFont="1" applyBorder="1" applyAlignment="1">
      <alignment horizontal="center" vertical="top"/>
    </xf>
    <xf numFmtId="0" fontId="6" fillId="0" borderId="25" xfId="2" applyFont="1" applyBorder="1" applyAlignment="1">
      <alignment horizontal="right" vertical="top"/>
    </xf>
    <xf numFmtId="0" fontId="6" fillId="0" borderId="0" xfId="2" applyFont="1" applyAlignment="1">
      <alignment horizontal="center" vertical="center"/>
    </xf>
    <xf numFmtId="0" fontId="2" fillId="2" borderId="9" xfId="2" applyFont="1" applyFill="1" applyBorder="1" applyAlignment="1">
      <alignment horizontal="center" vertical="center" wrapText="1"/>
    </xf>
    <xf numFmtId="0" fontId="2" fillId="2" borderId="33" xfId="2" applyFont="1" applyFill="1" applyBorder="1" applyAlignment="1">
      <alignment horizontal="center" vertical="center" wrapText="1"/>
    </xf>
    <xf numFmtId="0" fontId="5" fillId="2" borderId="34" xfId="2" applyFont="1" applyFill="1" applyBorder="1" applyAlignment="1">
      <alignment horizontal="center" vertical="center" wrapText="1"/>
    </xf>
    <xf numFmtId="0" fontId="5" fillId="2" borderId="9" xfId="2" applyFont="1" applyFill="1" applyBorder="1" applyAlignment="1">
      <alignment horizontal="center" vertical="center" wrapText="1"/>
    </xf>
    <xf numFmtId="0" fontId="6" fillId="4" borderId="38" xfId="2" applyFont="1" applyFill="1" applyBorder="1" applyAlignment="1">
      <alignment horizontal="left" vertical="top" wrapText="1"/>
    </xf>
    <xf numFmtId="0" fontId="6" fillId="4" borderId="39" xfId="2" applyFont="1" applyFill="1" applyBorder="1" applyAlignment="1">
      <alignment horizontal="left" vertical="top" wrapText="1"/>
    </xf>
    <xf numFmtId="0" fontId="6" fillId="4" borderId="40" xfId="2" applyFont="1" applyFill="1" applyBorder="1" applyAlignment="1">
      <alignment horizontal="left" vertical="top" wrapText="1"/>
    </xf>
    <xf numFmtId="0" fontId="5" fillId="0" borderId="41" xfId="2" applyFont="1" applyBorder="1" applyAlignment="1">
      <alignment horizontal="center" vertical="top" wrapText="1"/>
    </xf>
    <xf numFmtId="0" fontId="5" fillId="0" borderId="42" xfId="2" applyFont="1" applyBorder="1" applyAlignment="1">
      <alignment horizontal="center" vertical="top" wrapText="1"/>
    </xf>
    <xf numFmtId="0" fontId="5" fillId="0" borderId="42" xfId="2" applyFont="1" applyBorder="1" applyAlignment="1">
      <alignment horizontal="left" vertical="top" wrapText="1" indent="1"/>
    </xf>
    <xf numFmtId="0" fontId="5" fillId="0" borderId="42" xfId="2" applyFont="1" applyBorder="1" applyAlignment="1">
      <alignment horizontal="center" wrapText="1"/>
    </xf>
    <xf numFmtId="0" fontId="5" fillId="0" borderId="24" xfId="2" applyFont="1" applyBorder="1" applyAlignment="1">
      <alignment wrapText="1"/>
    </xf>
    <xf numFmtId="165" fontId="5" fillId="0" borderId="42" xfId="2" applyNumberFormat="1" applyFont="1" applyBorder="1" applyAlignment="1">
      <alignment horizontal="left" wrapText="1"/>
    </xf>
    <xf numFmtId="3" fontId="5" fillId="0" borderId="40" xfId="2" applyNumberFormat="1" applyFont="1" applyBorder="1" applyAlignment="1">
      <alignment horizontal="right"/>
    </xf>
    <xf numFmtId="1" fontId="5" fillId="0" borderId="40" xfId="2" applyNumberFormat="1" applyFont="1" applyBorder="1" applyAlignment="1">
      <alignment horizontal="right"/>
    </xf>
    <xf numFmtId="1" fontId="5" fillId="0" borderId="42" xfId="2" applyNumberFormat="1" applyFont="1" applyBorder="1" applyAlignment="1">
      <alignment horizontal="right"/>
    </xf>
    <xf numFmtId="0" fontId="23" fillId="0" borderId="0" xfId="2" applyFont="1" applyAlignment="1">
      <alignment vertical="top"/>
    </xf>
    <xf numFmtId="0" fontId="5" fillId="0" borderId="43" xfId="2" applyFont="1" applyBorder="1" applyAlignment="1">
      <alignment horizontal="center" vertical="top" wrapText="1"/>
    </xf>
    <xf numFmtId="0" fontId="5" fillId="0" borderId="44" xfId="2" applyFont="1" applyBorder="1" applyAlignment="1">
      <alignment horizontal="center" vertical="top" wrapText="1"/>
    </xf>
    <xf numFmtId="0" fontId="24" fillId="0" borderId="44" xfId="2" applyFont="1" applyBorder="1" applyAlignment="1">
      <alignment horizontal="left" vertical="top" wrapText="1" indent="1"/>
    </xf>
    <xf numFmtId="0" fontId="5" fillId="0" borderId="44" xfId="2" applyFont="1" applyBorder="1" applyAlignment="1">
      <alignment vertical="top" wrapText="1"/>
    </xf>
    <xf numFmtId="0" fontId="5" fillId="0" borderId="0" xfId="2" applyFont="1" applyAlignment="1">
      <alignment vertical="top" wrapText="1"/>
    </xf>
    <xf numFmtId="3" fontId="5" fillId="0" borderId="44" xfId="2" applyNumberFormat="1" applyFont="1" applyBorder="1" applyAlignment="1">
      <alignment horizontal="right" vertical="top"/>
    </xf>
    <xf numFmtId="1" fontId="5" fillId="0" borderId="44" xfId="2" applyNumberFormat="1" applyFont="1" applyBorder="1" applyAlignment="1">
      <alignment horizontal="right" vertical="top"/>
    </xf>
    <xf numFmtId="49" fontId="25" fillId="0" borderId="45" xfId="2" applyNumberFormat="1" applyFont="1" applyBorder="1" applyAlignment="1">
      <alignment horizontal="center" vertical="top" wrapText="1"/>
    </xf>
    <xf numFmtId="0" fontId="25" fillId="0" borderId="40" xfId="2" applyFont="1" applyBorder="1" applyAlignment="1">
      <alignment horizontal="center" vertical="top" wrapText="1"/>
    </xf>
    <xf numFmtId="0" fontId="25" fillId="0" borderId="40" xfId="2" applyFont="1" applyBorder="1" applyAlignment="1">
      <alignment horizontal="left" vertical="top" wrapText="1"/>
    </xf>
    <xf numFmtId="165" fontId="25" fillId="0" borderId="40" xfId="2" applyNumberFormat="1" applyFont="1" applyBorder="1" applyAlignment="1">
      <alignment horizontal="right" vertical="top"/>
    </xf>
    <xf numFmtId="3" fontId="25" fillId="0" borderId="40" xfId="2" applyNumberFormat="1" applyFont="1" applyBorder="1" applyAlignment="1">
      <alignment horizontal="right" vertical="top"/>
    </xf>
    <xf numFmtId="166" fontId="25" fillId="0" borderId="40" xfId="2" applyNumberFormat="1" applyFont="1" applyBorder="1" applyAlignment="1">
      <alignment horizontal="right" vertical="top"/>
    </xf>
    <xf numFmtId="1" fontId="25" fillId="0" borderId="40" xfId="2" applyNumberFormat="1" applyFont="1" applyBorder="1" applyAlignment="1">
      <alignment horizontal="right" vertical="top"/>
    </xf>
    <xf numFmtId="2" fontId="25" fillId="0" borderId="40" xfId="2" applyNumberFormat="1" applyFont="1" applyBorder="1" applyAlignment="1">
      <alignment horizontal="right" vertical="top"/>
    </xf>
    <xf numFmtId="49" fontId="26" fillId="0" borderId="46" xfId="2" applyNumberFormat="1" applyFont="1" applyBorder="1" applyAlignment="1">
      <alignment horizontal="center" vertical="top" wrapText="1"/>
    </xf>
    <xf numFmtId="0" fontId="26" fillId="0" borderId="47" xfId="2" applyFont="1" applyBorder="1" applyAlignment="1">
      <alignment horizontal="center" vertical="top" wrapText="1"/>
    </xf>
    <xf numFmtId="0" fontId="26" fillId="0" borderId="47" xfId="2" applyFont="1" applyBorder="1" applyAlignment="1">
      <alignment horizontal="left" vertical="top" wrapText="1"/>
    </xf>
    <xf numFmtId="165" fontId="26" fillId="0" borderId="47" xfId="2" applyNumberFormat="1" applyFont="1" applyBorder="1" applyAlignment="1">
      <alignment horizontal="right" vertical="top"/>
    </xf>
    <xf numFmtId="167" fontId="26" fillId="0" borderId="47" xfId="2" applyNumberFormat="1" applyFont="1" applyBorder="1" applyAlignment="1">
      <alignment horizontal="right" vertical="top"/>
    </xf>
    <xf numFmtId="3" fontId="26" fillId="0" borderId="47" xfId="2" applyNumberFormat="1" applyFont="1" applyBorder="1" applyAlignment="1">
      <alignment horizontal="right" vertical="top"/>
    </xf>
    <xf numFmtId="1" fontId="26" fillId="0" borderId="47" xfId="2" applyNumberFormat="1" applyFont="1" applyBorder="1" applyAlignment="1">
      <alignment horizontal="right" vertical="top"/>
    </xf>
    <xf numFmtId="2" fontId="25" fillId="0" borderId="47" xfId="2" applyNumberFormat="1" applyFont="1" applyBorder="1" applyAlignment="1">
      <alignment horizontal="right" vertical="top"/>
    </xf>
    <xf numFmtId="49" fontId="27" fillId="0" borderId="46" xfId="2" applyNumberFormat="1" applyFont="1" applyBorder="1" applyAlignment="1">
      <alignment horizontal="center" vertical="top" wrapText="1"/>
    </xf>
    <xf numFmtId="0" fontId="28" fillId="0" borderId="47" xfId="2" applyFont="1" applyBorder="1" applyAlignment="1">
      <alignment horizontal="center" vertical="top" wrapText="1"/>
    </xf>
    <xf numFmtId="0" fontId="28" fillId="0" borderId="47" xfId="2" applyFont="1" applyBorder="1" applyAlignment="1">
      <alignment horizontal="right" vertical="top" wrapText="1" indent="1"/>
    </xf>
    <xf numFmtId="0" fontId="28" fillId="0" borderId="47" xfId="2" applyFont="1" applyBorder="1" applyAlignment="1">
      <alignment horizontal="right" vertical="top" wrapText="1"/>
    </xf>
    <xf numFmtId="165" fontId="28" fillId="0" borderId="47" xfId="2" applyNumberFormat="1" applyFont="1" applyBorder="1" applyAlignment="1">
      <alignment horizontal="right" vertical="top"/>
    </xf>
    <xf numFmtId="167" fontId="28" fillId="0" borderId="47" xfId="2" applyNumberFormat="1" applyFont="1" applyBorder="1" applyAlignment="1">
      <alignment horizontal="right" vertical="top"/>
    </xf>
    <xf numFmtId="1" fontId="28" fillId="0" borderId="47" xfId="2" applyNumberFormat="1" applyFont="1" applyBorder="1" applyAlignment="1">
      <alignment horizontal="right" vertical="top"/>
    </xf>
    <xf numFmtId="49" fontId="29" fillId="0" borderId="46" xfId="2" applyNumberFormat="1" applyFont="1" applyBorder="1" applyAlignment="1">
      <alignment horizontal="center" vertical="top" wrapText="1"/>
    </xf>
    <xf numFmtId="0" fontId="29" fillId="0" borderId="47" xfId="2" applyFont="1" applyBorder="1" applyAlignment="1">
      <alignment horizontal="center" vertical="top" wrapText="1"/>
    </xf>
    <xf numFmtId="0" fontId="29" fillId="0" borderId="47" xfId="2" applyFont="1" applyBorder="1" applyAlignment="1">
      <alignment horizontal="left" vertical="top" wrapText="1"/>
    </xf>
    <xf numFmtId="165" fontId="29" fillId="0" borderId="47" xfId="2" applyNumberFormat="1" applyFont="1" applyBorder="1" applyAlignment="1">
      <alignment horizontal="right" vertical="top"/>
    </xf>
    <xf numFmtId="3" fontId="29" fillId="0" borderId="47" xfId="2" applyNumberFormat="1" applyFont="1" applyBorder="1" applyAlignment="1">
      <alignment horizontal="right" vertical="top"/>
    </xf>
    <xf numFmtId="166" fontId="29" fillId="0" borderId="47" xfId="2" applyNumberFormat="1" applyFont="1" applyBorder="1" applyAlignment="1">
      <alignment horizontal="right" vertical="top"/>
    </xf>
    <xf numFmtId="1" fontId="29" fillId="0" borderId="47" xfId="2" applyNumberFormat="1" applyFont="1" applyBorder="1" applyAlignment="1">
      <alignment horizontal="right" vertical="top"/>
    </xf>
    <xf numFmtId="3" fontId="5" fillId="0" borderId="42" xfId="2" applyNumberFormat="1" applyFont="1" applyBorder="1" applyAlignment="1">
      <alignment horizontal="left" wrapText="1"/>
    </xf>
    <xf numFmtId="2" fontId="5" fillId="0" borderId="40" xfId="2" applyNumberFormat="1" applyFont="1" applyBorder="1" applyAlignment="1">
      <alignment horizontal="right"/>
    </xf>
    <xf numFmtId="2" fontId="5" fillId="0" borderId="44" xfId="2" applyNumberFormat="1" applyFont="1" applyBorder="1" applyAlignment="1">
      <alignment horizontal="right" vertical="top"/>
    </xf>
    <xf numFmtId="165" fontId="5" fillId="0" borderId="40" xfId="2" applyNumberFormat="1" applyFont="1" applyBorder="1" applyAlignment="1">
      <alignment horizontal="right"/>
    </xf>
    <xf numFmtId="0" fontId="5" fillId="2" borderId="48" xfId="2" applyFont="1" applyFill="1" applyBorder="1" applyAlignment="1">
      <alignment horizontal="center" vertical="top" wrapText="1"/>
    </xf>
    <xf numFmtId="0" fontId="5" fillId="2" borderId="49" xfId="2" applyFont="1" applyFill="1" applyBorder="1" applyAlignment="1">
      <alignment horizontal="center" vertical="top" wrapText="1"/>
    </xf>
    <xf numFmtId="0" fontId="5" fillId="2" borderId="50" xfId="2" applyFont="1" applyFill="1" applyBorder="1" applyAlignment="1">
      <alignment vertical="top" wrapText="1"/>
    </xf>
    <xf numFmtId="0" fontId="5" fillId="3" borderId="50" xfId="2" applyFont="1" applyFill="1" applyBorder="1" applyAlignment="1">
      <alignment horizontal="center" wrapText="1"/>
    </xf>
    <xf numFmtId="0" fontId="5" fillId="3" borderId="49" xfId="2" applyFont="1" applyFill="1" applyBorder="1" applyAlignment="1">
      <alignment horizontal="right" wrapText="1"/>
    </xf>
    <xf numFmtId="0" fontId="5" fillId="3" borderId="50" xfId="2" applyFont="1" applyFill="1" applyBorder="1" applyAlignment="1">
      <alignment wrapText="1"/>
    </xf>
    <xf numFmtId="2" fontId="5" fillId="3" borderId="51" xfId="2" applyNumberFormat="1" applyFont="1" applyFill="1" applyBorder="1" applyAlignment="1">
      <alignment horizontal="right"/>
    </xf>
    <xf numFmtId="1" fontId="5" fillId="3" borderId="51" xfId="2" applyNumberFormat="1" applyFont="1" applyFill="1" applyBorder="1" applyAlignment="1">
      <alignment horizontal="right"/>
    </xf>
    <xf numFmtId="0" fontId="5" fillId="2" borderId="52" xfId="2" applyFont="1" applyFill="1" applyBorder="1" applyAlignment="1">
      <alignment horizontal="center" vertical="top" wrapText="1"/>
    </xf>
    <xf numFmtId="0" fontId="5" fillId="2" borderId="23" xfId="2" applyFont="1" applyFill="1" applyBorder="1" applyAlignment="1">
      <alignment horizontal="center" vertical="top" wrapText="1"/>
    </xf>
    <xf numFmtId="0" fontId="33" fillId="2" borderId="47" xfId="2" applyFont="1" applyFill="1" applyBorder="1" applyAlignment="1">
      <alignment horizontal="left" vertical="top" wrapText="1" indent="2"/>
    </xf>
    <xf numFmtId="0" fontId="5" fillId="3" borderId="47" xfId="2" applyFont="1" applyFill="1" applyBorder="1" applyAlignment="1">
      <alignment vertical="top" wrapText="1"/>
    </xf>
    <xf numFmtId="0" fontId="5" fillId="3" borderId="23" xfId="2" applyFont="1" applyFill="1" applyBorder="1" applyAlignment="1">
      <alignment vertical="top" wrapText="1"/>
    </xf>
    <xf numFmtId="2" fontId="5" fillId="3" borderId="47" xfId="2" applyNumberFormat="1" applyFont="1" applyFill="1" applyBorder="1" applyAlignment="1">
      <alignment horizontal="right" vertical="top"/>
    </xf>
    <xf numFmtId="1" fontId="5" fillId="3" borderId="47" xfId="2" applyNumberFormat="1" applyFont="1" applyFill="1" applyBorder="1" applyAlignment="1">
      <alignment horizontal="right" vertical="top"/>
    </xf>
    <xf numFmtId="0" fontId="2" fillId="2" borderId="38" xfId="2" applyFont="1" applyFill="1" applyBorder="1" applyAlignment="1">
      <alignment horizontal="center" vertical="top" wrapText="1"/>
    </xf>
    <xf numFmtId="0" fontId="2" fillId="2" borderId="39" xfId="2" applyFont="1" applyFill="1" applyBorder="1" applyAlignment="1">
      <alignment horizontal="left" vertical="top" wrapText="1"/>
    </xf>
    <xf numFmtId="0" fontId="2" fillId="2" borderId="40" xfId="2" applyFont="1" applyFill="1" applyBorder="1" applyAlignment="1">
      <alignment horizontal="left" vertical="top" wrapText="1"/>
    </xf>
    <xf numFmtId="0" fontId="2" fillId="2" borderId="40" xfId="2" applyFont="1" applyFill="1" applyBorder="1" applyAlignment="1">
      <alignment horizontal="center" vertical="top" wrapText="1"/>
    </xf>
    <xf numFmtId="0" fontId="2" fillId="2" borderId="39" xfId="2" applyFont="1" applyFill="1" applyBorder="1" applyAlignment="1">
      <alignment horizontal="center" vertical="top" wrapText="1"/>
    </xf>
    <xf numFmtId="0" fontId="5" fillId="2" borderId="40" xfId="2" applyFont="1" applyFill="1" applyBorder="1" applyAlignment="1">
      <alignment horizontal="center" vertical="top" wrapText="1"/>
    </xf>
    <xf numFmtId="0" fontId="5" fillId="2" borderId="40" xfId="2" applyFont="1" applyFill="1" applyBorder="1" applyAlignment="1">
      <alignment horizontal="right" vertical="top" wrapText="1"/>
    </xf>
    <xf numFmtId="1" fontId="5" fillId="2" borderId="40" xfId="2" applyNumberFormat="1" applyFont="1" applyFill="1" applyBorder="1" applyAlignment="1">
      <alignment horizontal="right" vertical="top" wrapText="1"/>
    </xf>
    <xf numFmtId="0" fontId="6" fillId="0" borderId="23" xfId="2" applyFont="1" applyBorder="1" applyAlignment="1">
      <alignment vertical="top"/>
    </xf>
    <xf numFmtId="0" fontId="6" fillId="0" borderId="23" xfId="2" applyFont="1" applyBorder="1" applyAlignment="1">
      <alignment horizontal="left" vertical="top" wrapText="1"/>
    </xf>
    <xf numFmtId="0" fontId="34" fillId="0" borderId="0" xfId="1" applyFont="1"/>
    <xf numFmtId="0" fontId="11" fillId="0" borderId="0" xfId="1" applyFont="1" applyAlignment="1">
      <alignment vertical="top"/>
    </xf>
    <xf numFmtId="0" fontId="11" fillId="0" borderId="0" xfId="1" applyFont="1" applyAlignment="1">
      <alignment horizontal="right" vertical="top"/>
    </xf>
    <xf numFmtId="0" fontId="36" fillId="0" borderId="0" xfId="1" applyFont="1" applyAlignment="1">
      <alignment horizontal="left" vertical="top"/>
    </xf>
    <xf numFmtId="0" fontId="11" fillId="0" borderId="0" xfId="1" applyFont="1" applyAlignment="1">
      <alignment horizontal="center" vertical="top"/>
    </xf>
    <xf numFmtId="0" fontId="11" fillId="2" borderId="9" xfId="1" applyFont="1" applyFill="1" applyBorder="1" applyAlignment="1">
      <alignment horizontal="center" vertical="center" wrapText="1"/>
    </xf>
    <xf numFmtId="0" fontId="11" fillId="2" borderId="34" xfId="1" applyFont="1" applyFill="1" applyBorder="1" applyAlignment="1">
      <alignment horizontal="center" vertical="center" wrapText="1"/>
    </xf>
    <xf numFmtId="0" fontId="1" fillId="2" borderId="56" xfId="1" applyFont="1" applyFill="1" applyBorder="1" applyAlignment="1">
      <alignment vertical="top"/>
    </xf>
    <xf numFmtId="0" fontId="34" fillId="2" borderId="57" xfId="1" applyFont="1" applyFill="1" applyBorder="1" applyAlignment="1">
      <alignment horizontal="center" vertical="top"/>
    </xf>
    <xf numFmtId="0" fontId="38" fillId="2" borderId="57" xfId="1" applyFont="1" applyFill="1" applyBorder="1" applyAlignment="1">
      <alignment horizontal="center" vertical="top" wrapText="1"/>
    </xf>
    <xf numFmtId="0" fontId="39" fillId="0" borderId="59" xfId="1" applyFont="1" applyBorder="1" applyAlignment="1">
      <alignment horizontal="center" vertical="top"/>
    </xf>
    <xf numFmtId="0" fontId="39" fillId="0" borderId="60" xfId="1" applyFont="1" applyBorder="1" applyAlignment="1">
      <alignment horizontal="center" vertical="top" wrapText="1"/>
    </xf>
    <xf numFmtId="0" fontId="39" fillId="0" borderId="60" xfId="1" applyFont="1" applyBorder="1" applyAlignment="1">
      <alignment horizontal="left" vertical="top" wrapText="1"/>
    </xf>
    <xf numFmtId="165" fontId="39" fillId="0" borderId="60" xfId="1" applyNumberFormat="1" applyFont="1" applyBorder="1" applyAlignment="1">
      <alignment horizontal="center" vertical="top"/>
    </xf>
    <xf numFmtId="3" fontId="39" fillId="0" borderId="60" xfId="1" applyNumberFormat="1" applyFont="1" applyBorder="1" applyAlignment="1">
      <alignment horizontal="right" vertical="top"/>
    </xf>
    <xf numFmtId="165" fontId="39" fillId="0" borderId="60" xfId="1" applyNumberFormat="1" applyFont="1" applyBorder="1" applyAlignment="1">
      <alignment horizontal="right" vertical="top"/>
    </xf>
    <xf numFmtId="0" fontId="40" fillId="0" borderId="0" xfId="1" applyFont="1"/>
    <xf numFmtId="0" fontId="41" fillId="0" borderId="61" xfId="1" applyFont="1" applyBorder="1" applyAlignment="1">
      <alignment horizontal="center" vertical="top"/>
    </xf>
    <xf numFmtId="0" fontId="41" fillId="0" borderId="62" xfId="1" applyFont="1" applyBorder="1" applyAlignment="1">
      <alignment horizontal="center" vertical="top" wrapText="1"/>
    </xf>
    <xf numFmtId="0" fontId="41" fillId="0" borderId="62" xfId="1" applyFont="1" applyBorder="1" applyAlignment="1">
      <alignment horizontal="left" vertical="top" wrapText="1"/>
    </xf>
    <xf numFmtId="167" fontId="41" fillId="0" borderId="62" xfId="1" applyNumberFormat="1" applyFont="1" applyBorder="1" applyAlignment="1">
      <alignment horizontal="center" vertical="top"/>
    </xf>
    <xf numFmtId="2" fontId="41" fillId="0" borderId="62" xfId="1" applyNumberFormat="1" applyFont="1" applyBorder="1" applyAlignment="1">
      <alignment horizontal="right" vertical="top"/>
    </xf>
    <xf numFmtId="165" fontId="41" fillId="0" borderId="62" xfId="1" applyNumberFormat="1" applyFont="1" applyBorder="1" applyAlignment="1">
      <alignment horizontal="center" vertical="top"/>
    </xf>
    <xf numFmtId="165" fontId="41" fillId="0" borderId="62" xfId="1" applyNumberFormat="1" applyFont="1" applyBorder="1" applyAlignment="1">
      <alignment horizontal="right" vertical="top"/>
    </xf>
    <xf numFmtId="0" fontId="42" fillId="2" borderId="15" xfId="1" applyFont="1" applyFill="1" applyBorder="1" applyAlignment="1">
      <alignment vertical="top"/>
    </xf>
    <xf numFmtId="0" fontId="35" fillId="2" borderId="16" xfId="1" applyFont="1" applyFill="1" applyBorder="1" applyAlignment="1">
      <alignment horizontal="center" vertical="top"/>
    </xf>
    <xf numFmtId="0" fontId="35" fillId="2" borderId="16" xfId="1" applyFont="1" applyFill="1" applyBorder="1" applyAlignment="1">
      <alignment horizontal="left" vertical="top" wrapText="1"/>
    </xf>
    <xf numFmtId="0" fontId="35" fillId="2" borderId="16" xfId="1" applyFont="1" applyFill="1" applyBorder="1" applyAlignment="1">
      <alignment horizontal="center" vertical="top" wrapText="1"/>
    </xf>
    <xf numFmtId="3" fontId="35" fillId="2" borderId="16" xfId="1" applyNumberFormat="1" applyFont="1" applyFill="1" applyBorder="1" applyAlignment="1">
      <alignment horizontal="right" vertical="top" wrapText="1"/>
    </xf>
    <xf numFmtId="165" fontId="35" fillId="2" borderId="16" xfId="1" applyNumberFormat="1" applyFont="1" applyFill="1" applyBorder="1" applyAlignment="1">
      <alignment horizontal="center" vertical="top" wrapText="1"/>
    </xf>
    <xf numFmtId="0" fontId="35" fillId="2" borderId="16" xfId="1" applyFont="1" applyFill="1" applyBorder="1" applyAlignment="1">
      <alignment horizontal="right" vertical="top" wrapText="1"/>
    </xf>
    <xf numFmtId="0" fontId="1" fillId="0" borderId="63" xfId="1" applyFont="1" applyBorder="1" applyAlignment="1">
      <alignment vertical="top"/>
    </xf>
    <xf numFmtId="0" fontId="34" fillId="0" borderId="64" xfId="1" applyFont="1" applyBorder="1" applyAlignment="1">
      <alignment horizontal="center" vertical="top"/>
    </xf>
    <xf numFmtId="0" fontId="1" fillId="0" borderId="64" xfId="1" applyFont="1" applyBorder="1" applyAlignment="1">
      <alignment vertical="top"/>
    </xf>
    <xf numFmtId="0" fontId="1" fillId="0" borderId="64" xfId="1" applyFont="1" applyBorder="1" applyAlignment="1">
      <alignment vertical="top" wrapText="1"/>
    </xf>
    <xf numFmtId="167" fontId="1" fillId="0" borderId="64" xfId="1" applyNumberFormat="1" applyFont="1" applyBorder="1" applyAlignment="1">
      <alignment vertical="top"/>
    </xf>
    <xf numFmtId="2" fontId="1" fillId="0" borderId="64" xfId="1" applyNumberFormat="1" applyFont="1" applyBorder="1" applyAlignment="1">
      <alignment vertical="top"/>
    </xf>
    <xf numFmtId="2" fontId="1" fillId="0" borderId="65" xfId="1" applyNumberFormat="1" applyFont="1" applyBorder="1" applyAlignment="1">
      <alignment vertical="top"/>
    </xf>
    <xf numFmtId="2" fontId="39" fillId="0" borderId="60" xfId="1" applyNumberFormat="1" applyFont="1" applyBorder="1" applyAlignment="1">
      <alignment horizontal="right" vertical="top"/>
    </xf>
    <xf numFmtId="165" fontId="39" fillId="5" borderId="60" xfId="1" applyNumberFormat="1" applyFont="1" applyFill="1" applyBorder="1" applyAlignment="1">
      <alignment horizontal="right" vertical="top"/>
    </xf>
    <xf numFmtId="0" fontId="44" fillId="0" borderId="69" xfId="1" applyFont="1" applyBorder="1" applyAlignment="1">
      <alignment horizontal="center" vertical="top"/>
    </xf>
    <xf numFmtId="0" fontId="45" fillId="0" borderId="70" xfId="1" applyFont="1" applyBorder="1" applyAlignment="1">
      <alignment horizontal="right" vertical="top" wrapText="1"/>
    </xf>
    <xf numFmtId="0" fontId="44" fillId="0" borderId="70" xfId="1" applyFont="1" applyBorder="1" applyAlignment="1">
      <alignment horizontal="right" vertical="top" wrapText="1" indent="1"/>
    </xf>
    <xf numFmtId="0" fontId="44" fillId="0" borderId="71" xfId="1" applyFont="1" applyBorder="1" applyAlignment="1">
      <alignment horizontal="right" vertical="top" wrapText="1"/>
    </xf>
    <xf numFmtId="165" fontId="44" fillId="0" borderId="71" xfId="1" applyNumberFormat="1" applyFont="1" applyBorder="1" applyAlignment="1">
      <alignment horizontal="right" vertical="top"/>
    </xf>
    <xf numFmtId="165" fontId="39" fillId="6" borderId="60" xfId="1" applyNumberFormat="1" applyFont="1" applyFill="1" applyBorder="1" applyAlignment="1">
      <alignment horizontal="right" vertical="top"/>
    </xf>
    <xf numFmtId="165" fontId="39" fillId="7" borderId="60" xfId="1" applyNumberFormat="1" applyFont="1" applyFill="1" applyBorder="1" applyAlignment="1">
      <alignment horizontal="right" vertical="top"/>
    </xf>
    <xf numFmtId="3" fontId="39" fillId="0" borderId="60" xfId="1" applyNumberFormat="1" applyFont="1" applyBorder="1" applyAlignment="1">
      <alignment horizontal="center" vertical="top"/>
    </xf>
    <xf numFmtId="3" fontId="39" fillId="5" borderId="60" xfId="1" applyNumberFormat="1" applyFont="1" applyFill="1" applyBorder="1" applyAlignment="1">
      <alignment horizontal="right" vertical="top"/>
    </xf>
    <xf numFmtId="3" fontId="41" fillId="0" borderId="62" xfId="1" applyNumberFormat="1" applyFont="1" applyBorder="1" applyAlignment="1">
      <alignment horizontal="right" vertical="top"/>
    </xf>
    <xf numFmtId="3" fontId="39" fillId="6" borderId="60" xfId="1" applyNumberFormat="1" applyFont="1" applyFill="1" applyBorder="1" applyAlignment="1">
      <alignment horizontal="right" vertical="top"/>
    </xf>
    <xf numFmtId="3" fontId="39" fillId="7" borderId="60" xfId="1" applyNumberFormat="1" applyFont="1" applyFill="1" applyBorder="1" applyAlignment="1">
      <alignment horizontal="right" vertical="top"/>
    </xf>
    <xf numFmtId="0" fontId="6" fillId="0" borderId="0" xfId="1" applyFont="1" applyAlignment="1">
      <alignment vertical="top"/>
    </xf>
    <xf numFmtId="0" fontId="1" fillId="0" borderId="0" xfId="1" applyFont="1" applyAlignment="1">
      <alignment vertical="top"/>
    </xf>
    <xf numFmtId="0" fontId="6" fillId="0" borderId="57" xfId="1" applyFont="1" applyBorder="1" applyAlignment="1">
      <alignment vertical="top"/>
    </xf>
    <xf numFmtId="168" fontId="5" fillId="3" borderId="50" xfId="3" applyNumberFormat="1" applyFont="1" applyFill="1" applyBorder="1" applyAlignment="1">
      <alignment horizontal="right"/>
    </xf>
    <xf numFmtId="169" fontId="5" fillId="3" borderId="50" xfId="3" applyNumberFormat="1" applyFont="1" applyFill="1" applyBorder="1" applyAlignment="1">
      <alignment wrapText="1"/>
    </xf>
    <xf numFmtId="168" fontId="5" fillId="3" borderId="51" xfId="3" applyNumberFormat="1" applyFont="1" applyFill="1" applyBorder="1" applyAlignment="1">
      <alignment horizontal="right"/>
    </xf>
    <xf numFmtId="168" fontId="5" fillId="0" borderId="50" xfId="3" applyNumberFormat="1" applyFont="1" applyFill="1" applyBorder="1" applyAlignment="1">
      <alignment horizontal="right"/>
    </xf>
    <xf numFmtId="168" fontId="6" fillId="0" borderId="0" xfId="2" applyNumberFormat="1" applyFont="1" applyAlignment="1">
      <alignment vertical="top"/>
    </xf>
    <xf numFmtId="169" fontId="5" fillId="3" borderId="47" xfId="3" applyNumberFormat="1" applyFont="1" applyFill="1" applyBorder="1" applyAlignment="1">
      <alignment horizontal="right" vertical="top"/>
    </xf>
    <xf numFmtId="168" fontId="5" fillId="3" borderId="47" xfId="3" applyNumberFormat="1" applyFont="1" applyFill="1" applyBorder="1" applyAlignment="1">
      <alignment horizontal="right" vertical="top"/>
    </xf>
    <xf numFmtId="169" fontId="5" fillId="2" borderId="40" xfId="3" applyNumberFormat="1" applyFont="1" applyFill="1" applyBorder="1" applyAlignment="1">
      <alignment horizontal="center" vertical="top" wrapText="1"/>
    </xf>
    <xf numFmtId="168" fontId="5" fillId="2" borderId="40" xfId="3" applyNumberFormat="1" applyFont="1" applyFill="1" applyBorder="1" applyAlignment="1">
      <alignment horizontal="right" vertical="top" wrapText="1"/>
    </xf>
    <xf numFmtId="0" fontId="50" fillId="2" borderId="52" xfId="2" applyFont="1" applyFill="1" applyBorder="1" applyAlignment="1">
      <alignment horizontal="center" vertical="top" wrapText="1"/>
    </xf>
    <xf numFmtId="0" fontId="50" fillId="3" borderId="47" xfId="2" applyFont="1" applyFill="1" applyBorder="1" applyAlignment="1">
      <alignment vertical="top" wrapText="1"/>
    </xf>
    <xf numFmtId="0" fontId="52" fillId="3" borderId="23" xfId="2" applyFont="1" applyFill="1" applyBorder="1" applyAlignment="1">
      <alignment vertical="top" wrapText="1"/>
    </xf>
    <xf numFmtId="169" fontId="50" fillId="3" borderId="47" xfId="2" applyNumberFormat="1" applyFont="1" applyFill="1" applyBorder="1" applyAlignment="1">
      <alignment horizontal="right" vertical="top"/>
    </xf>
    <xf numFmtId="2" fontId="50" fillId="3" borderId="47" xfId="2" applyNumberFormat="1" applyFont="1" applyFill="1" applyBorder="1" applyAlignment="1">
      <alignment horizontal="right" vertical="top"/>
    </xf>
    <xf numFmtId="168" fontId="50" fillId="3" borderId="47" xfId="3" applyNumberFormat="1" applyFont="1" applyFill="1" applyBorder="1" applyAlignment="1">
      <alignment horizontal="right" vertical="top"/>
    </xf>
    <xf numFmtId="0" fontId="51" fillId="2" borderId="38" xfId="2" applyFont="1" applyFill="1" applyBorder="1" applyAlignment="1">
      <alignment horizontal="center" vertical="top" wrapText="1"/>
    </xf>
    <xf numFmtId="0" fontId="51" fillId="2" borderId="40" xfId="2" applyFont="1" applyFill="1" applyBorder="1" applyAlignment="1">
      <alignment horizontal="center" vertical="top" wrapText="1"/>
    </xf>
    <xf numFmtId="0" fontId="53" fillId="2" borderId="39" xfId="2" applyFont="1" applyFill="1" applyBorder="1" applyAlignment="1">
      <alignment horizontal="center" vertical="top" wrapText="1"/>
    </xf>
    <xf numFmtId="169" fontId="50" fillId="2" borderId="40" xfId="2" applyNumberFormat="1" applyFont="1" applyFill="1" applyBorder="1" applyAlignment="1">
      <alignment horizontal="center" vertical="top" wrapText="1"/>
    </xf>
    <xf numFmtId="0" fontId="50" fillId="2" borderId="40" xfId="2" applyFont="1" applyFill="1" applyBorder="1" applyAlignment="1">
      <alignment horizontal="right" vertical="top" wrapText="1"/>
    </xf>
    <xf numFmtId="168" fontId="50" fillId="2" borderId="40" xfId="3" applyNumberFormat="1" applyFont="1" applyFill="1" applyBorder="1" applyAlignment="1">
      <alignment horizontal="right" vertical="top" wrapText="1"/>
    </xf>
    <xf numFmtId="0" fontId="51" fillId="2" borderId="45" xfId="2" applyFont="1" applyFill="1" applyBorder="1" applyAlignment="1">
      <alignment horizontal="center" vertical="top" wrapText="1"/>
    </xf>
    <xf numFmtId="0" fontId="51" fillId="2" borderId="40" xfId="2" applyFont="1" applyFill="1" applyBorder="1" applyAlignment="1">
      <alignment horizontal="left" vertical="top" wrapText="1"/>
    </xf>
    <xf numFmtId="168" fontId="6" fillId="0" borderId="0" xfId="3" applyNumberFormat="1" applyFont="1" applyAlignment="1">
      <alignment vertical="top"/>
    </xf>
    <xf numFmtId="0" fontId="51" fillId="0" borderId="0" xfId="2" applyFont="1" applyAlignment="1">
      <alignment vertical="top"/>
    </xf>
    <xf numFmtId="168" fontId="6" fillId="0" borderId="0" xfId="2" applyNumberFormat="1" applyFont="1"/>
    <xf numFmtId="168" fontId="6" fillId="0" borderId="0" xfId="3" applyNumberFormat="1" applyFont="1"/>
    <xf numFmtId="0" fontId="51" fillId="2" borderId="24" xfId="2" applyFont="1" applyFill="1" applyBorder="1" applyAlignment="1">
      <alignment horizontal="center" vertical="top" wrapText="1"/>
    </xf>
    <xf numFmtId="0" fontId="53" fillId="2" borderId="24" xfId="2" applyFont="1" applyFill="1" applyBorder="1" applyAlignment="1">
      <alignment horizontal="center" vertical="top" wrapText="1"/>
    </xf>
    <xf numFmtId="169" fontId="50" fillId="2" borderId="24" xfId="2" applyNumberFormat="1" applyFont="1" applyFill="1" applyBorder="1" applyAlignment="1">
      <alignment horizontal="center" vertical="top" wrapText="1"/>
    </xf>
    <xf numFmtId="0" fontId="50" fillId="2" borderId="24" xfId="2" applyFont="1" applyFill="1" applyBorder="1" applyAlignment="1">
      <alignment horizontal="right" vertical="top" wrapText="1"/>
    </xf>
    <xf numFmtId="10" fontId="50" fillId="2" borderId="24" xfId="2" applyNumberFormat="1" applyFont="1" applyFill="1" applyBorder="1" applyAlignment="1">
      <alignment horizontal="left" vertical="top" wrapText="1"/>
    </xf>
    <xf numFmtId="168" fontId="50" fillId="2" borderId="24" xfId="3" applyNumberFormat="1" applyFont="1" applyFill="1" applyBorder="1" applyAlignment="1">
      <alignment horizontal="right" vertical="top" wrapText="1"/>
    </xf>
    <xf numFmtId="168" fontId="6" fillId="8" borderId="0" xfId="3" applyNumberFormat="1" applyFont="1" applyFill="1" applyAlignment="1">
      <alignment vertical="top"/>
    </xf>
    <xf numFmtId="170" fontId="50" fillId="2" borderId="24" xfId="2" applyNumberFormat="1" applyFont="1" applyFill="1" applyBorder="1" applyAlignment="1">
      <alignment horizontal="left" vertical="top" wrapText="1"/>
    </xf>
    <xf numFmtId="171" fontId="50" fillId="2" borderId="24" xfId="2" applyNumberFormat="1" applyFont="1" applyFill="1" applyBorder="1" applyAlignment="1">
      <alignment horizontal="left" vertical="top" wrapText="1"/>
    </xf>
    <xf numFmtId="0" fontId="51" fillId="2" borderId="24" xfId="2" applyFont="1" applyFill="1" applyBorder="1" applyAlignment="1">
      <alignment horizontal="left" vertical="top" wrapText="1"/>
    </xf>
    <xf numFmtId="9" fontId="50" fillId="2" borderId="24" xfId="2" applyNumberFormat="1" applyFont="1" applyFill="1" applyBorder="1" applyAlignment="1">
      <alignment horizontal="left" vertical="top" wrapText="1"/>
    </xf>
    <xf numFmtId="0" fontId="51" fillId="2" borderId="39" xfId="2" applyFont="1" applyFill="1" applyBorder="1" applyAlignment="1">
      <alignment horizontal="left" vertical="top" wrapText="1"/>
    </xf>
    <xf numFmtId="0" fontId="51" fillId="2" borderId="40" xfId="2" applyFont="1" applyFill="1" applyBorder="1" applyAlignment="1">
      <alignment horizontal="left" vertical="top" wrapText="1"/>
    </xf>
    <xf numFmtId="0" fontId="6" fillId="0" borderId="0" xfId="2"/>
    <xf numFmtId="0" fontId="51" fillId="2" borderId="39" xfId="2" applyFont="1" applyFill="1" applyBorder="1" applyAlignment="1">
      <alignment horizontal="left" vertical="top" wrapText="1"/>
    </xf>
    <xf numFmtId="0" fontId="51" fillId="2" borderId="40" xfId="2" applyFont="1" applyFill="1" applyBorder="1" applyAlignment="1">
      <alignment horizontal="left" vertical="top" wrapText="1"/>
    </xf>
    <xf numFmtId="0" fontId="51" fillId="2" borderId="39" xfId="2" applyFont="1" applyFill="1" applyBorder="1" applyAlignment="1">
      <alignment horizontal="left" vertical="top" wrapText="1"/>
    </xf>
    <xf numFmtId="0" fontId="51" fillId="2" borderId="40" xfId="2" applyFont="1" applyFill="1" applyBorder="1" applyAlignment="1">
      <alignment horizontal="left" vertical="top" wrapText="1"/>
    </xf>
    <xf numFmtId="0" fontId="5" fillId="9" borderId="42" xfId="2" applyFont="1" applyFill="1" applyBorder="1" applyAlignment="1">
      <alignment horizontal="left" vertical="top" wrapText="1" indent="1"/>
    </xf>
    <xf numFmtId="0" fontId="2" fillId="0" borderId="17" xfId="1" applyFont="1" applyBorder="1" applyAlignment="1">
      <alignment horizontal="left" vertical="top" wrapText="1" inden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8" xfId="1" applyFont="1" applyFill="1" applyBorder="1" applyAlignment="1">
      <alignment horizontal="center" vertical="center" wrapText="1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2" fillId="2" borderId="4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49" fontId="2" fillId="2" borderId="4" xfId="1" applyNumberFormat="1" applyFont="1" applyFill="1" applyBorder="1" applyAlignment="1">
      <alignment horizontal="center" vertical="center" wrapText="1"/>
    </xf>
    <xf numFmtId="49" fontId="2" fillId="2" borderId="8" xfId="1" applyNumberFormat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4" fillId="0" borderId="0" xfId="1" applyFont="1" applyAlignment="1">
      <alignment horizontal="center"/>
    </xf>
    <xf numFmtId="0" fontId="8" fillId="0" borderId="0" xfId="1" applyFont="1" applyAlignment="1">
      <alignment horizontal="left" vertical="top" wrapText="1"/>
    </xf>
    <xf numFmtId="0" fontId="6" fillId="0" borderId="1" xfId="1" applyFont="1" applyBorder="1" applyAlignment="1">
      <alignment horizontal="center" vertical="top" wrapText="1"/>
    </xf>
    <xf numFmtId="0" fontId="9" fillId="0" borderId="2" xfId="1" applyFont="1" applyBorder="1" applyAlignment="1">
      <alignment horizontal="center"/>
    </xf>
    <xf numFmtId="0" fontId="2" fillId="0" borderId="3" xfId="1" applyFont="1" applyBorder="1" applyAlignment="1">
      <alignment horizontal="left" wrapText="1"/>
    </xf>
    <xf numFmtId="0" fontId="6" fillId="0" borderId="19" xfId="1" applyFont="1" applyBorder="1" applyAlignment="1">
      <alignment horizontal="left"/>
    </xf>
    <xf numFmtId="0" fontId="6" fillId="0" borderId="20" xfId="1" applyFont="1" applyBorder="1" applyAlignment="1">
      <alignment horizontal="left"/>
    </xf>
    <xf numFmtId="0" fontId="6" fillId="0" borderId="23" xfId="2" applyFont="1" applyBorder="1" applyAlignment="1">
      <alignment horizontal="left" vertical="top" wrapText="1"/>
    </xf>
    <xf numFmtId="0" fontId="6" fillId="0" borderId="23" xfId="2" applyFont="1" applyBorder="1" applyAlignment="1">
      <alignment horizontal="left" wrapText="1"/>
    </xf>
    <xf numFmtId="0" fontId="23" fillId="4" borderId="39" xfId="2" applyFont="1" applyFill="1" applyBorder="1" applyAlignment="1">
      <alignment horizontal="left" vertical="top" wrapText="1"/>
    </xf>
    <xf numFmtId="0" fontId="6" fillId="0" borderId="24" xfId="2" applyFont="1" applyBorder="1" applyAlignment="1">
      <alignment horizontal="left" vertical="top"/>
    </xf>
    <xf numFmtId="0" fontId="6" fillId="0" borderId="35" xfId="2" applyFont="1" applyBorder="1" applyAlignment="1">
      <alignment horizontal="center"/>
    </xf>
    <xf numFmtId="0" fontId="6" fillId="0" borderId="36" xfId="2" applyFont="1" applyBorder="1" applyAlignment="1">
      <alignment horizontal="center"/>
    </xf>
    <xf numFmtId="0" fontId="6" fillId="0" borderId="37" xfId="2" applyFont="1" applyBorder="1" applyAlignment="1">
      <alignment horizontal="center"/>
    </xf>
    <xf numFmtId="0" fontId="20" fillId="0" borderId="0" xfId="2" applyFont="1" applyAlignment="1">
      <alignment horizontal="center" vertical="top"/>
    </xf>
    <xf numFmtId="0" fontId="21" fillId="0" borderId="23" xfId="2" applyFont="1" applyBorder="1" applyAlignment="1">
      <alignment horizontal="left" vertical="top" wrapText="1"/>
    </xf>
    <xf numFmtId="0" fontId="22" fillId="0" borderId="24" xfId="2" applyFont="1" applyBorder="1" applyAlignment="1">
      <alignment horizontal="center" vertical="top" wrapText="1"/>
    </xf>
    <xf numFmtId="0" fontId="6" fillId="0" borderId="0" xfId="2" applyFont="1" applyAlignment="1">
      <alignment horizontal="left" vertical="top" wrapText="1"/>
    </xf>
    <xf numFmtId="0" fontId="6" fillId="0" borderId="3" xfId="2" applyFont="1" applyBorder="1" applyAlignment="1">
      <alignment horizontal="left" vertical="top" wrapText="1"/>
    </xf>
    <xf numFmtId="0" fontId="2" fillId="2" borderId="4" xfId="2" applyFont="1" applyFill="1" applyBorder="1" applyAlignment="1">
      <alignment horizontal="center" vertical="center" wrapText="1"/>
    </xf>
    <xf numFmtId="0" fontId="2" fillId="2" borderId="30" xfId="2" applyFont="1" applyFill="1" applyBorder="1" applyAlignment="1">
      <alignment horizontal="center" vertical="center" wrapText="1"/>
    </xf>
    <xf numFmtId="0" fontId="2" fillId="2" borderId="8" xfId="2" applyFont="1" applyFill="1" applyBorder="1" applyAlignment="1">
      <alignment horizontal="center" vertical="center" wrapText="1"/>
    </xf>
    <xf numFmtId="0" fontId="2" fillId="2" borderId="26" xfId="2" applyFont="1" applyFill="1" applyBorder="1" applyAlignment="1">
      <alignment horizontal="center" vertical="center" wrapText="1"/>
    </xf>
    <xf numFmtId="0" fontId="2" fillId="2" borderId="27" xfId="2" applyFont="1" applyFill="1" applyBorder="1" applyAlignment="1">
      <alignment horizontal="center" vertical="center" wrapText="1"/>
    </xf>
    <xf numFmtId="0" fontId="2" fillId="2" borderId="31" xfId="2" applyFont="1" applyFill="1" applyBorder="1" applyAlignment="1">
      <alignment horizontal="center" vertical="center" wrapText="1"/>
    </xf>
    <xf numFmtId="0" fontId="2" fillId="2" borderId="32" xfId="2" applyFont="1" applyFill="1" applyBorder="1" applyAlignment="1">
      <alignment horizontal="center" vertical="center" wrapText="1"/>
    </xf>
    <xf numFmtId="0" fontId="2" fillId="2" borderId="28" xfId="2" applyFont="1" applyFill="1" applyBorder="1" applyAlignment="1">
      <alignment horizontal="center" vertical="center" wrapText="1"/>
    </xf>
    <xf numFmtId="0" fontId="2" fillId="2" borderId="29" xfId="2" applyFont="1" applyFill="1" applyBorder="1" applyAlignment="1">
      <alignment horizontal="center" vertical="center" wrapText="1"/>
    </xf>
    <xf numFmtId="0" fontId="2" fillId="2" borderId="6" xfId="2" applyFont="1" applyFill="1" applyBorder="1" applyAlignment="1">
      <alignment horizontal="center" vertical="center" wrapText="1"/>
    </xf>
    <xf numFmtId="0" fontId="2" fillId="2" borderId="7" xfId="2" applyFont="1" applyFill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" vertical="center" wrapText="1"/>
    </xf>
    <xf numFmtId="0" fontId="6" fillId="3" borderId="30" xfId="2" applyFont="1" applyFill="1" applyBorder="1" applyAlignment="1">
      <alignment horizontal="center" vertical="center" wrapText="1"/>
    </xf>
    <xf numFmtId="0" fontId="6" fillId="3" borderId="8" xfId="2" applyFont="1" applyFill="1" applyBorder="1" applyAlignment="1">
      <alignment horizontal="center" vertical="center" wrapText="1"/>
    </xf>
    <xf numFmtId="0" fontId="5" fillId="2" borderId="5" xfId="2" applyFont="1" applyFill="1" applyBorder="1" applyAlignment="1">
      <alignment horizontal="center" vertical="center" wrapText="1"/>
    </xf>
    <xf numFmtId="0" fontId="5" fillId="2" borderId="29" xfId="2" applyFont="1" applyFill="1" applyBorder="1" applyAlignment="1">
      <alignment horizontal="center" vertical="center" wrapText="1"/>
    </xf>
    <xf numFmtId="0" fontId="17" fillId="0" borderId="0" xfId="2" applyFont="1" applyAlignment="1">
      <alignment horizontal="left" vertical="top" wrapText="1"/>
    </xf>
    <xf numFmtId="0" fontId="18" fillId="0" borderId="0" xfId="2" applyFont="1" applyAlignment="1">
      <alignment horizontal="right" vertical="top"/>
    </xf>
    <xf numFmtId="0" fontId="19" fillId="0" borderId="0" xfId="2" applyFont="1" applyAlignment="1">
      <alignment horizontal="left" vertical="top" wrapText="1"/>
    </xf>
    <xf numFmtId="0" fontId="34" fillId="0" borderId="57" xfId="1" applyFont="1" applyBorder="1" applyAlignment="1">
      <alignment horizontal="left" vertical="top" wrapText="1"/>
    </xf>
    <xf numFmtId="0" fontId="43" fillId="7" borderId="68" xfId="1" applyFont="1" applyFill="1" applyBorder="1" applyAlignment="1">
      <alignment horizontal="center" vertical="center"/>
    </xf>
    <xf numFmtId="0" fontId="43" fillId="7" borderId="58" xfId="1" applyFont="1" applyFill="1" applyBorder="1" applyAlignment="1">
      <alignment horizontal="center" vertical="center"/>
    </xf>
    <xf numFmtId="0" fontId="43" fillId="7" borderId="16" xfId="1" applyFont="1" applyFill="1" applyBorder="1" applyAlignment="1">
      <alignment horizontal="center" vertical="center"/>
    </xf>
    <xf numFmtId="0" fontId="1" fillId="2" borderId="66" xfId="1" applyFont="1" applyFill="1" applyBorder="1" applyAlignment="1">
      <alignment horizontal="center" vertical="top"/>
    </xf>
    <xf numFmtId="0" fontId="1" fillId="2" borderId="67" xfId="1" applyFont="1" applyFill="1" applyBorder="1" applyAlignment="1">
      <alignment horizontal="center" vertical="top"/>
    </xf>
    <xf numFmtId="0" fontId="43" fillId="5" borderId="68" xfId="1" applyFont="1" applyFill="1" applyBorder="1" applyAlignment="1">
      <alignment horizontal="center" vertical="center"/>
    </xf>
    <xf numFmtId="0" fontId="43" fillId="5" borderId="58" xfId="1" applyFont="1" applyFill="1" applyBorder="1" applyAlignment="1">
      <alignment horizontal="center" vertical="center"/>
    </xf>
    <xf numFmtId="0" fontId="43" fillId="5" borderId="16" xfId="1" applyFont="1" applyFill="1" applyBorder="1" applyAlignment="1">
      <alignment horizontal="center" vertical="center"/>
    </xf>
    <xf numFmtId="0" fontId="43" fillId="6" borderId="68" xfId="1" applyFont="1" applyFill="1" applyBorder="1" applyAlignment="1">
      <alignment horizontal="center" vertical="center"/>
    </xf>
    <xf numFmtId="0" fontId="43" fillId="6" borderId="58" xfId="1" applyFont="1" applyFill="1" applyBorder="1" applyAlignment="1">
      <alignment horizontal="center" vertical="center"/>
    </xf>
    <xf numFmtId="0" fontId="43" fillId="6" borderId="16" xfId="1" applyFont="1" applyFill="1" applyBorder="1" applyAlignment="1">
      <alignment horizontal="center" vertical="center"/>
    </xf>
    <xf numFmtId="0" fontId="34" fillId="0" borderId="0" xfId="1" applyFont="1" applyAlignment="1">
      <alignment horizontal="left" vertical="top" wrapText="1"/>
    </xf>
    <xf numFmtId="0" fontId="34" fillId="0" borderId="3" xfId="1" applyFont="1" applyBorder="1" applyAlignment="1">
      <alignment horizontal="left" wrapText="1"/>
    </xf>
    <xf numFmtId="0" fontId="11" fillId="2" borderId="4" xfId="1" applyFont="1" applyFill="1" applyBorder="1" applyAlignment="1">
      <alignment horizontal="center" vertical="center" wrapText="1"/>
    </xf>
    <xf numFmtId="0" fontId="11" fillId="2" borderId="8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 wrapText="1"/>
    </xf>
    <xf numFmtId="0" fontId="11" fillId="2" borderId="29" xfId="1" applyFont="1" applyFill="1" applyBorder="1" applyAlignment="1">
      <alignment horizontal="center" vertical="center" wrapText="1"/>
    </xf>
    <xf numFmtId="0" fontId="6" fillId="0" borderId="53" xfId="1" applyFont="1" applyBorder="1" applyAlignment="1">
      <alignment horizontal="center"/>
    </xf>
    <xf numFmtId="0" fontId="6" fillId="0" borderId="54" xfId="1" applyFont="1" applyBorder="1" applyAlignment="1">
      <alignment horizontal="center"/>
    </xf>
    <xf numFmtId="0" fontId="6" fillId="0" borderId="55" xfId="1" applyFont="1" applyBorder="1" applyAlignment="1">
      <alignment horizontal="center"/>
    </xf>
    <xf numFmtId="0" fontId="1" fillId="2" borderId="58" xfId="1" applyFont="1" applyFill="1" applyBorder="1" applyAlignment="1">
      <alignment horizontal="center" vertical="top"/>
    </xf>
    <xf numFmtId="0" fontId="1" fillId="2" borderId="16" xfId="1" applyFont="1" applyFill="1" applyBorder="1" applyAlignment="1">
      <alignment horizontal="center" vertical="top"/>
    </xf>
    <xf numFmtId="0" fontId="35" fillId="0" borderId="0" xfId="1" applyFont="1" applyAlignment="1">
      <alignment horizontal="center"/>
    </xf>
    <xf numFmtId="0" fontId="37" fillId="0" borderId="0" xfId="1" applyFont="1" applyAlignment="1">
      <alignment horizontal="left" vertical="top" wrapText="1"/>
    </xf>
    <xf numFmtId="0" fontId="34" fillId="0" borderId="0" xfId="1" applyFont="1" applyAlignment="1">
      <alignment horizontal="center" vertical="top"/>
    </xf>
    <xf numFmtId="0" fontId="50" fillId="2" borderId="39" xfId="2" applyFont="1" applyFill="1" applyBorder="1" applyAlignment="1">
      <alignment horizontal="left" vertical="top" wrapText="1"/>
    </xf>
    <xf numFmtId="0" fontId="51" fillId="2" borderId="39" xfId="2" applyFont="1" applyFill="1" applyBorder="1" applyAlignment="1">
      <alignment horizontal="left" vertical="top" wrapText="1"/>
    </xf>
    <xf numFmtId="0" fontId="51" fillId="2" borderId="40" xfId="2" applyFont="1" applyFill="1" applyBorder="1" applyAlignment="1">
      <alignment horizontal="left" vertical="top" wrapText="1"/>
    </xf>
    <xf numFmtId="0" fontId="50" fillId="2" borderId="39" xfId="2" applyFont="1" applyFill="1" applyBorder="1" applyAlignment="1">
      <alignment horizontal="left" wrapText="1"/>
    </xf>
    <xf numFmtId="165" fontId="54" fillId="0" borderId="18" xfId="2" applyNumberFormat="1" applyFont="1" applyBorder="1" applyAlignment="1">
      <alignment horizontal="left" wrapText="1"/>
    </xf>
  </cellXfs>
  <cellStyles count="4">
    <cellStyle name="Обычный" xfId="0" builtinId="0"/>
    <cellStyle name="Обычный 2" xfId="1"/>
    <cellStyle name="Обычный 3" xfId="2"/>
    <cellStyle name="Финансовый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DO05\Desktop\&#1089;&#1084;&#1077;&#1090;&#1099;%20&#1058;&#1055;\&#1057;&#1084;&#1077;&#1090;&#1099;%20&#1058;&#1055;%20&#1087;&#1086;%20&#1086;&#1073;&#1098;&#1077;&#1082;&#1090;&#1072;&#1084;\&#1044;&#1056;&#1054;&#1041;&#1048;&#1051;&#1068;&#1053;&#1067;&#1049;%20&#1050;&#1054;&#1056;&#1055;&#1059;&#1057;\&#1057;&#1048;-36-2023-31!3-&#1050;&#1052;2_&#1051;&#1057;34\&#1057;&#1048;-36-2023-31!3-&#1050;&#1052;2%20&#1051;&#1057;3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60040430_РС"/>
      <sheetName val="360040430_К9"/>
      <sheetName val="360040430_В1"/>
      <sheetName val="360040430_ИД"/>
      <sheetName val="КМ2 ЛС34 формула"/>
      <sheetName val="КМ2 ЛС34 формула с коэфф."/>
      <sheetName val="КМ2 ЛС34 апрель2024"/>
      <sheetName val="КМ2 ЛС34ост.на 01.06.24"/>
      <sheetName val="КМ2 ЛС34май 2024"/>
      <sheetName val="111"/>
      <sheetName val="КМ2 ЛС34 июнь предварит."/>
    </sheetNames>
    <sheetDataSet>
      <sheetData sheetId="0"/>
      <sheetData sheetId="1">
        <row r="42">
          <cell r="M42">
            <v>0</v>
          </cell>
        </row>
        <row r="194">
          <cell r="M194">
            <v>0</v>
          </cell>
        </row>
      </sheetData>
      <sheetData sheetId="2"/>
      <sheetData sheetId="3"/>
      <sheetData sheetId="4"/>
      <sheetData sheetId="5">
        <row r="42">
          <cell r="M42">
            <v>0</v>
          </cell>
        </row>
        <row r="194">
          <cell r="M194">
            <v>0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9"/>
  <sheetViews>
    <sheetView workbookViewId="0"/>
  </sheetViews>
  <sheetFormatPr defaultRowHeight="12.75" outlineLevelRow="2"/>
  <cols>
    <col min="1" max="1" width="4.5703125" style="4" customWidth="1"/>
    <col min="2" max="2" width="34.28515625" style="4" customWidth="1"/>
    <col min="3" max="3" width="8" style="4" customWidth="1"/>
    <col min="4" max="4" width="7.28515625" style="4" customWidth="1"/>
    <col min="5" max="5" width="8.85546875" style="4"/>
    <col min="6" max="6" width="9.42578125" style="36" customWidth="1"/>
    <col min="7" max="256" width="8.85546875" style="4"/>
    <col min="257" max="257" width="4.5703125" style="4" customWidth="1"/>
    <col min="258" max="258" width="34.28515625" style="4" customWidth="1"/>
    <col min="259" max="259" width="8" style="4" customWidth="1"/>
    <col min="260" max="260" width="7.28515625" style="4" customWidth="1"/>
    <col min="261" max="261" width="8.85546875" style="4"/>
    <col min="262" max="262" width="9.42578125" style="4" customWidth="1"/>
    <col min="263" max="512" width="8.85546875" style="4"/>
    <col min="513" max="513" width="4.5703125" style="4" customWidth="1"/>
    <col min="514" max="514" width="34.28515625" style="4" customWidth="1"/>
    <col min="515" max="515" width="8" style="4" customWidth="1"/>
    <col min="516" max="516" width="7.28515625" style="4" customWidth="1"/>
    <col min="517" max="517" width="8.85546875" style="4"/>
    <col min="518" max="518" width="9.42578125" style="4" customWidth="1"/>
    <col min="519" max="768" width="8.85546875" style="4"/>
    <col min="769" max="769" width="4.5703125" style="4" customWidth="1"/>
    <col min="770" max="770" width="34.28515625" style="4" customWidth="1"/>
    <col min="771" max="771" width="8" style="4" customWidth="1"/>
    <col min="772" max="772" width="7.28515625" style="4" customWidth="1"/>
    <col min="773" max="773" width="8.85546875" style="4"/>
    <col min="774" max="774" width="9.42578125" style="4" customWidth="1"/>
    <col min="775" max="1024" width="8.85546875" style="4"/>
    <col min="1025" max="1025" width="4.5703125" style="4" customWidth="1"/>
    <col min="1026" max="1026" width="34.28515625" style="4" customWidth="1"/>
    <col min="1027" max="1027" width="8" style="4" customWidth="1"/>
    <col min="1028" max="1028" width="7.28515625" style="4" customWidth="1"/>
    <col min="1029" max="1029" width="8.85546875" style="4"/>
    <col min="1030" max="1030" width="9.42578125" style="4" customWidth="1"/>
    <col min="1031" max="1280" width="8.85546875" style="4"/>
    <col min="1281" max="1281" width="4.5703125" style="4" customWidth="1"/>
    <col min="1282" max="1282" width="34.28515625" style="4" customWidth="1"/>
    <col min="1283" max="1283" width="8" style="4" customWidth="1"/>
    <col min="1284" max="1284" width="7.28515625" style="4" customWidth="1"/>
    <col min="1285" max="1285" width="8.85546875" style="4"/>
    <col min="1286" max="1286" width="9.42578125" style="4" customWidth="1"/>
    <col min="1287" max="1536" width="8.85546875" style="4"/>
    <col min="1537" max="1537" width="4.5703125" style="4" customWidth="1"/>
    <col min="1538" max="1538" width="34.28515625" style="4" customWidth="1"/>
    <col min="1539" max="1539" width="8" style="4" customWidth="1"/>
    <col min="1540" max="1540" width="7.28515625" style="4" customWidth="1"/>
    <col min="1541" max="1541" width="8.85546875" style="4"/>
    <col min="1542" max="1542" width="9.42578125" style="4" customWidth="1"/>
    <col min="1543" max="1792" width="8.85546875" style="4"/>
    <col min="1793" max="1793" width="4.5703125" style="4" customWidth="1"/>
    <col min="1794" max="1794" width="34.28515625" style="4" customWidth="1"/>
    <col min="1795" max="1795" width="8" style="4" customWidth="1"/>
    <col min="1796" max="1796" width="7.28515625" style="4" customWidth="1"/>
    <col min="1797" max="1797" width="8.85546875" style="4"/>
    <col min="1798" max="1798" width="9.42578125" style="4" customWidth="1"/>
    <col min="1799" max="2048" width="8.85546875" style="4"/>
    <col min="2049" max="2049" width="4.5703125" style="4" customWidth="1"/>
    <col min="2050" max="2050" width="34.28515625" style="4" customWidth="1"/>
    <col min="2051" max="2051" width="8" style="4" customWidth="1"/>
    <col min="2052" max="2052" width="7.28515625" style="4" customWidth="1"/>
    <col min="2053" max="2053" width="8.85546875" style="4"/>
    <col min="2054" max="2054" width="9.42578125" style="4" customWidth="1"/>
    <col min="2055" max="2304" width="8.85546875" style="4"/>
    <col min="2305" max="2305" width="4.5703125" style="4" customWidth="1"/>
    <col min="2306" max="2306" width="34.28515625" style="4" customWidth="1"/>
    <col min="2307" max="2307" width="8" style="4" customWidth="1"/>
    <col min="2308" max="2308" width="7.28515625" style="4" customWidth="1"/>
    <col min="2309" max="2309" width="8.85546875" style="4"/>
    <col min="2310" max="2310" width="9.42578125" style="4" customWidth="1"/>
    <col min="2311" max="2560" width="8.85546875" style="4"/>
    <col min="2561" max="2561" width="4.5703125" style="4" customWidth="1"/>
    <col min="2562" max="2562" width="34.28515625" style="4" customWidth="1"/>
    <col min="2563" max="2563" width="8" style="4" customWidth="1"/>
    <col min="2564" max="2564" width="7.28515625" style="4" customWidth="1"/>
    <col min="2565" max="2565" width="8.85546875" style="4"/>
    <col min="2566" max="2566" width="9.42578125" style="4" customWidth="1"/>
    <col min="2567" max="2816" width="8.85546875" style="4"/>
    <col min="2817" max="2817" width="4.5703125" style="4" customWidth="1"/>
    <col min="2818" max="2818" width="34.28515625" style="4" customWidth="1"/>
    <col min="2819" max="2819" width="8" style="4" customWidth="1"/>
    <col min="2820" max="2820" width="7.28515625" style="4" customWidth="1"/>
    <col min="2821" max="2821" width="8.85546875" style="4"/>
    <col min="2822" max="2822" width="9.42578125" style="4" customWidth="1"/>
    <col min="2823" max="3072" width="8.85546875" style="4"/>
    <col min="3073" max="3073" width="4.5703125" style="4" customWidth="1"/>
    <col min="3074" max="3074" width="34.28515625" style="4" customWidth="1"/>
    <col min="3075" max="3075" width="8" style="4" customWidth="1"/>
    <col min="3076" max="3076" width="7.28515625" style="4" customWidth="1"/>
    <col min="3077" max="3077" width="8.85546875" style="4"/>
    <col min="3078" max="3078" width="9.42578125" style="4" customWidth="1"/>
    <col min="3079" max="3328" width="8.85546875" style="4"/>
    <col min="3329" max="3329" width="4.5703125" style="4" customWidth="1"/>
    <col min="3330" max="3330" width="34.28515625" style="4" customWidth="1"/>
    <col min="3331" max="3331" width="8" style="4" customWidth="1"/>
    <col min="3332" max="3332" width="7.28515625" style="4" customWidth="1"/>
    <col min="3333" max="3333" width="8.85546875" style="4"/>
    <col min="3334" max="3334" width="9.42578125" style="4" customWidth="1"/>
    <col min="3335" max="3584" width="8.85546875" style="4"/>
    <col min="3585" max="3585" width="4.5703125" style="4" customWidth="1"/>
    <col min="3586" max="3586" width="34.28515625" style="4" customWidth="1"/>
    <col min="3587" max="3587" width="8" style="4" customWidth="1"/>
    <col min="3588" max="3588" width="7.28515625" style="4" customWidth="1"/>
    <col min="3589" max="3589" width="8.85546875" style="4"/>
    <col min="3590" max="3590" width="9.42578125" style="4" customWidth="1"/>
    <col min="3591" max="3840" width="8.85546875" style="4"/>
    <col min="3841" max="3841" width="4.5703125" style="4" customWidth="1"/>
    <col min="3842" max="3842" width="34.28515625" style="4" customWidth="1"/>
    <col min="3843" max="3843" width="8" style="4" customWidth="1"/>
    <col min="3844" max="3844" width="7.28515625" style="4" customWidth="1"/>
    <col min="3845" max="3845" width="8.85546875" style="4"/>
    <col min="3846" max="3846" width="9.42578125" style="4" customWidth="1"/>
    <col min="3847" max="4096" width="8.85546875" style="4"/>
    <col min="4097" max="4097" width="4.5703125" style="4" customWidth="1"/>
    <col min="4098" max="4098" width="34.28515625" style="4" customWidth="1"/>
    <col min="4099" max="4099" width="8" style="4" customWidth="1"/>
    <col min="4100" max="4100" width="7.28515625" style="4" customWidth="1"/>
    <col min="4101" max="4101" width="8.85546875" style="4"/>
    <col min="4102" max="4102" width="9.42578125" style="4" customWidth="1"/>
    <col min="4103" max="4352" width="8.85546875" style="4"/>
    <col min="4353" max="4353" width="4.5703125" style="4" customWidth="1"/>
    <col min="4354" max="4354" width="34.28515625" style="4" customWidth="1"/>
    <col min="4355" max="4355" width="8" style="4" customWidth="1"/>
    <col min="4356" max="4356" width="7.28515625" style="4" customWidth="1"/>
    <col min="4357" max="4357" width="8.85546875" style="4"/>
    <col min="4358" max="4358" width="9.42578125" style="4" customWidth="1"/>
    <col min="4359" max="4608" width="8.85546875" style="4"/>
    <col min="4609" max="4609" width="4.5703125" style="4" customWidth="1"/>
    <col min="4610" max="4610" width="34.28515625" style="4" customWidth="1"/>
    <col min="4611" max="4611" width="8" style="4" customWidth="1"/>
    <col min="4612" max="4612" width="7.28515625" style="4" customWidth="1"/>
    <col min="4613" max="4613" width="8.85546875" style="4"/>
    <col min="4614" max="4614" width="9.42578125" style="4" customWidth="1"/>
    <col min="4615" max="4864" width="8.85546875" style="4"/>
    <col min="4865" max="4865" width="4.5703125" style="4" customWidth="1"/>
    <col min="4866" max="4866" width="34.28515625" style="4" customWidth="1"/>
    <col min="4867" max="4867" width="8" style="4" customWidth="1"/>
    <col min="4868" max="4868" width="7.28515625" style="4" customWidth="1"/>
    <col min="4869" max="4869" width="8.85546875" style="4"/>
    <col min="4870" max="4870" width="9.42578125" style="4" customWidth="1"/>
    <col min="4871" max="5120" width="8.85546875" style="4"/>
    <col min="5121" max="5121" width="4.5703125" style="4" customWidth="1"/>
    <col min="5122" max="5122" width="34.28515625" style="4" customWidth="1"/>
    <col min="5123" max="5123" width="8" style="4" customWidth="1"/>
    <col min="5124" max="5124" width="7.28515625" style="4" customWidth="1"/>
    <col min="5125" max="5125" width="8.85546875" style="4"/>
    <col min="5126" max="5126" width="9.42578125" style="4" customWidth="1"/>
    <col min="5127" max="5376" width="8.85546875" style="4"/>
    <col min="5377" max="5377" width="4.5703125" style="4" customWidth="1"/>
    <col min="5378" max="5378" width="34.28515625" style="4" customWidth="1"/>
    <col min="5379" max="5379" width="8" style="4" customWidth="1"/>
    <col min="5380" max="5380" width="7.28515625" style="4" customWidth="1"/>
    <col min="5381" max="5381" width="8.85546875" style="4"/>
    <col min="5382" max="5382" width="9.42578125" style="4" customWidth="1"/>
    <col min="5383" max="5632" width="8.85546875" style="4"/>
    <col min="5633" max="5633" width="4.5703125" style="4" customWidth="1"/>
    <col min="5634" max="5634" width="34.28515625" style="4" customWidth="1"/>
    <col min="5635" max="5635" width="8" style="4" customWidth="1"/>
    <col min="5636" max="5636" width="7.28515625" style="4" customWidth="1"/>
    <col min="5637" max="5637" width="8.85546875" style="4"/>
    <col min="5638" max="5638" width="9.42578125" style="4" customWidth="1"/>
    <col min="5639" max="5888" width="8.85546875" style="4"/>
    <col min="5889" max="5889" width="4.5703125" style="4" customWidth="1"/>
    <col min="5890" max="5890" width="34.28515625" style="4" customWidth="1"/>
    <col min="5891" max="5891" width="8" style="4" customWidth="1"/>
    <col min="5892" max="5892" width="7.28515625" style="4" customWidth="1"/>
    <col min="5893" max="5893" width="8.85546875" style="4"/>
    <col min="5894" max="5894" width="9.42578125" style="4" customWidth="1"/>
    <col min="5895" max="6144" width="8.85546875" style="4"/>
    <col min="6145" max="6145" width="4.5703125" style="4" customWidth="1"/>
    <col min="6146" max="6146" width="34.28515625" style="4" customWidth="1"/>
    <col min="6147" max="6147" width="8" style="4" customWidth="1"/>
    <col min="6148" max="6148" width="7.28515625" style="4" customWidth="1"/>
    <col min="6149" max="6149" width="8.85546875" style="4"/>
    <col min="6150" max="6150" width="9.42578125" style="4" customWidth="1"/>
    <col min="6151" max="6400" width="8.85546875" style="4"/>
    <col min="6401" max="6401" width="4.5703125" style="4" customWidth="1"/>
    <col min="6402" max="6402" width="34.28515625" style="4" customWidth="1"/>
    <col min="6403" max="6403" width="8" style="4" customWidth="1"/>
    <col min="6404" max="6404" width="7.28515625" style="4" customWidth="1"/>
    <col min="6405" max="6405" width="8.85546875" style="4"/>
    <col min="6406" max="6406" width="9.42578125" style="4" customWidth="1"/>
    <col min="6407" max="6656" width="8.85546875" style="4"/>
    <col min="6657" max="6657" width="4.5703125" style="4" customWidth="1"/>
    <col min="6658" max="6658" width="34.28515625" style="4" customWidth="1"/>
    <col min="6659" max="6659" width="8" style="4" customWidth="1"/>
    <col min="6660" max="6660" width="7.28515625" style="4" customWidth="1"/>
    <col min="6661" max="6661" width="8.85546875" style="4"/>
    <col min="6662" max="6662" width="9.42578125" style="4" customWidth="1"/>
    <col min="6663" max="6912" width="8.85546875" style="4"/>
    <col min="6913" max="6913" width="4.5703125" style="4" customWidth="1"/>
    <col min="6914" max="6914" width="34.28515625" style="4" customWidth="1"/>
    <col min="6915" max="6915" width="8" style="4" customWidth="1"/>
    <col min="6916" max="6916" width="7.28515625" style="4" customWidth="1"/>
    <col min="6917" max="6917" width="8.85546875" style="4"/>
    <col min="6918" max="6918" width="9.42578125" style="4" customWidth="1"/>
    <col min="6919" max="7168" width="8.85546875" style="4"/>
    <col min="7169" max="7169" width="4.5703125" style="4" customWidth="1"/>
    <col min="7170" max="7170" width="34.28515625" style="4" customWidth="1"/>
    <col min="7171" max="7171" width="8" style="4" customWidth="1"/>
    <col min="7172" max="7172" width="7.28515625" style="4" customWidth="1"/>
    <col min="7173" max="7173" width="8.85546875" style="4"/>
    <col min="7174" max="7174" width="9.42578125" style="4" customWidth="1"/>
    <col min="7175" max="7424" width="8.85546875" style="4"/>
    <col min="7425" max="7425" width="4.5703125" style="4" customWidth="1"/>
    <col min="7426" max="7426" width="34.28515625" style="4" customWidth="1"/>
    <col min="7427" max="7427" width="8" style="4" customWidth="1"/>
    <col min="7428" max="7428" width="7.28515625" style="4" customWidth="1"/>
    <col min="7429" max="7429" width="8.85546875" style="4"/>
    <col min="7430" max="7430" width="9.42578125" style="4" customWidth="1"/>
    <col min="7431" max="7680" width="8.85546875" style="4"/>
    <col min="7681" max="7681" width="4.5703125" style="4" customWidth="1"/>
    <col min="7682" max="7682" width="34.28515625" style="4" customWidth="1"/>
    <col min="7683" max="7683" width="8" style="4" customWidth="1"/>
    <col min="7684" max="7684" width="7.28515625" style="4" customWidth="1"/>
    <col min="7685" max="7685" width="8.85546875" style="4"/>
    <col min="7686" max="7686" width="9.42578125" style="4" customWidth="1"/>
    <col min="7687" max="7936" width="8.85546875" style="4"/>
    <col min="7937" max="7937" width="4.5703125" style="4" customWidth="1"/>
    <col min="7938" max="7938" width="34.28515625" style="4" customWidth="1"/>
    <col min="7939" max="7939" width="8" style="4" customWidth="1"/>
    <col min="7940" max="7940" width="7.28515625" style="4" customWidth="1"/>
    <col min="7941" max="7941" width="8.85546875" style="4"/>
    <col min="7942" max="7942" width="9.42578125" style="4" customWidth="1"/>
    <col min="7943" max="8192" width="8.85546875" style="4"/>
    <col min="8193" max="8193" width="4.5703125" style="4" customWidth="1"/>
    <col min="8194" max="8194" width="34.28515625" style="4" customWidth="1"/>
    <col min="8195" max="8195" width="8" style="4" customWidth="1"/>
    <col min="8196" max="8196" width="7.28515625" style="4" customWidth="1"/>
    <col min="8197" max="8197" width="8.85546875" style="4"/>
    <col min="8198" max="8198" width="9.42578125" style="4" customWidth="1"/>
    <col min="8199" max="8448" width="8.85546875" style="4"/>
    <col min="8449" max="8449" width="4.5703125" style="4" customWidth="1"/>
    <col min="8450" max="8450" width="34.28515625" style="4" customWidth="1"/>
    <col min="8451" max="8451" width="8" style="4" customWidth="1"/>
    <col min="8452" max="8452" width="7.28515625" style="4" customWidth="1"/>
    <col min="8453" max="8453" width="8.85546875" style="4"/>
    <col min="8454" max="8454" width="9.42578125" style="4" customWidth="1"/>
    <col min="8455" max="8704" width="8.85546875" style="4"/>
    <col min="8705" max="8705" width="4.5703125" style="4" customWidth="1"/>
    <col min="8706" max="8706" width="34.28515625" style="4" customWidth="1"/>
    <col min="8707" max="8707" width="8" style="4" customWidth="1"/>
    <col min="8708" max="8708" width="7.28515625" style="4" customWidth="1"/>
    <col min="8709" max="8709" width="8.85546875" style="4"/>
    <col min="8710" max="8710" width="9.42578125" style="4" customWidth="1"/>
    <col min="8711" max="8960" width="8.85546875" style="4"/>
    <col min="8961" max="8961" width="4.5703125" style="4" customWidth="1"/>
    <col min="8962" max="8962" width="34.28515625" style="4" customWidth="1"/>
    <col min="8963" max="8963" width="8" style="4" customWidth="1"/>
    <col min="8964" max="8964" width="7.28515625" style="4" customWidth="1"/>
    <col min="8965" max="8965" width="8.85546875" style="4"/>
    <col min="8966" max="8966" width="9.42578125" style="4" customWidth="1"/>
    <col min="8967" max="9216" width="8.85546875" style="4"/>
    <col min="9217" max="9217" width="4.5703125" style="4" customWidth="1"/>
    <col min="9218" max="9218" width="34.28515625" style="4" customWidth="1"/>
    <col min="9219" max="9219" width="8" style="4" customWidth="1"/>
    <col min="9220" max="9220" width="7.28515625" style="4" customWidth="1"/>
    <col min="9221" max="9221" width="8.85546875" style="4"/>
    <col min="9222" max="9222" width="9.42578125" style="4" customWidth="1"/>
    <col min="9223" max="9472" width="8.85546875" style="4"/>
    <col min="9473" max="9473" width="4.5703125" style="4" customWidth="1"/>
    <col min="9474" max="9474" width="34.28515625" style="4" customWidth="1"/>
    <col min="9475" max="9475" width="8" style="4" customWidth="1"/>
    <col min="9476" max="9476" width="7.28515625" style="4" customWidth="1"/>
    <col min="9477" max="9477" width="8.85546875" style="4"/>
    <col min="9478" max="9478" width="9.42578125" style="4" customWidth="1"/>
    <col min="9479" max="9728" width="8.85546875" style="4"/>
    <col min="9729" max="9729" width="4.5703125" style="4" customWidth="1"/>
    <col min="9730" max="9730" width="34.28515625" style="4" customWidth="1"/>
    <col min="9731" max="9731" width="8" style="4" customWidth="1"/>
    <col min="9732" max="9732" width="7.28515625" style="4" customWidth="1"/>
    <col min="9733" max="9733" width="8.85546875" style="4"/>
    <col min="9734" max="9734" width="9.42578125" style="4" customWidth="1"/>
    <col min="9735" max="9984" width="8.85546875" style="4"/>
    <col min="9985" max="9985" width="4.5703125" style="4" customWidth="1"/>
    <col min="9986" max="9986" width="34.28515625" style="4" customWidth="1"/>
    <col min="9987" max="9987" width="8" style="4" customWidth="1"/>
    <col min="9988" max="9988" width="7.28515625" style="4" customWidth="1"/>
    <col min="9989" max="9989" width="8.85546875" style="4"/>
    <col min="9990" max="9990" width="9.42578125" style="4" customWidth="1"/>
    <col min="9991" max="10240" width="8.85546875" style="4"/>
    <col min="10241" max="10241" width="4.5703125" style="4" customWidth="1"/>
    <col min="10242" max="10242" width="34.28515625" style="4" customWidth="1"/>
    <col min="10243" max="10243" width="8" style="4" customWidth="1"/>
    <col min="10244" max="10244" width="7.28515625" style="4" customWidth="1"/>
    <col min="10245" max="10245" width="8.85546875" style="4"/>
    <col min="10246" max="10246" width="9.42578125" style="4" customWidth="1"/>
    <col min="10247" max="10496" width="8.85546875" style="4"/>
    <col min="10497" max="10497" width="4.5703125" style="4" customWidth="1"/>
    <col min="10498" max="10498" width="34.28515625" style="4" customWidth="1"/>
    <col min="10499" max="10499" width="8" style="4" customWidth="1"/>
    <col min="10500" max="10500" width="7.28515625" style="4" customWidth="1"/>
    <col min="10501" max="10501" width="8.85546875" style="4"/>
    <col min="10502" max="10502" width="9.42578125" style="4" customWidth="1"/>
    <col min="10503" max="10752" width="8.85546875" style="4"/>
    <col min="10753" max="10753" width="4.5703125" style="4" customWidth="1"/>
    <col min="10754" max="10754" width="34.28515625" style="4" customWidth="1"/>
    <col min="10755" max="10755" width="8" style="4" customWidth="1"/>
    <col min="10756" max="10756" width="7.28515625" style="4" customWidth="1"/>
    <col min="10757" max="10757" width="8.85546875" style="4"/>
    <col min="10758" max="10758" width="9.42578125" style="4" customWidth="1"/>
    <col min="10759" max="11008" width="8.85546875" style="4"/>
    <col min="11009" max="11009" width="4.5703125" style="4" customWidth="1"/>
    <col min="11010" max="11010" width="34.28515625" style="4" customWidth="1"/>
    <col min="11011" max="11011" width="8" style="4" customWidth="1"/>
    <col min="11012" max="11012" width="7.28515625" style="4" customWidth="1"/>
    <col min="11013" max="11013" width="8.85546875" style="4"/>
    <col min="11014" max="11014" width="9.42578125" style="4" customWidth="1"/>
    <col min="11015" max="11264" width="8.85546875" style="4"/>
    <col min="11265" max="11265" width="4.5703125" style="4" customWidth="1"/>
    <col min="11266" max="11266" width="34.28515625" style="4" customWidth="1"/>
    <col min="11267" max="11267" width="8" style="4" customWidth="1"/>
    <col min="11268" max="11268" width="7.28515625" style="4" customWidth="1"/>
    <col min="11269" max="11269" width="8.85546875" style="4"/>
    <col min="11270" max="11270" width="9.42578125" style="4" customWidth="1"/>
    <col min="11271" max="11520" width="8.85546875" style="4"/>
    <col min="11521" max="11521" width="4.5703125" style="4" customWidth="1"/>
    <col min="11522" max="11522" width="34.28515625" style="4" customWidth="1"/>
    <col min="11523" max="11523" width="8" style="4" customWidth="1"/>
    <col min="11524" max="11524" width="7.28515625" style="4" customWidth="1"/>
    <col min="11525" max="11525" width="8.85546875" style="4"/>
    <col min="11526" max="11526" width="9.42578125" style="4" customWidth="1"/>
    <col min="11527" max="11776" width="8.85546875" style="4"/>
    <col min="11777" max="11777" width="4.5703125" style="4" customWidth="1"/>
    <col min="11778" max="11778" width="34.28515625" style="4" customWidth="1"/>
    <col min="11779" max="11779" width="8" style="4" customWidth="1"/>
    <col min="11780" max="11780" width="7.28515625" style="4" customWidth="1"/>
    <col min="11781" max="11781" width="8.85546875" style="4"/>
    <col min="11782" max="11782" width="9.42578125" style="4" customWidth="1"/>
    <col min="11783" max="12032" width="8.85546875" style="4"/>
    <col min="12033" max="12033" width="4.5703125" style="4" customWidth="1"/>
    <col min="12034" max="12034" width="34.28515625" style="4" customWidth="1"/>
    <col min="12035" max="12035" width="8" style="4" customWidth="1"/>
    <col min="12036" max="12036" width="7.28515625" style="4" customWidth="1"/>
    <col min="12037" max="12037" width="8.85546875" style="4"/>
    <col min="12038" max="12038" width="9.42578125" style="4" customWidth="1"/>
    <col min="12039" max="12288" width="8.85546875" style="4"/>
    <col min="12289" max="12289" width="4.5703125" style="4" customWidth="1"/>
    <col min="12290" max="12290" width="34.28515625" style="4" customWidth="1"/>
    <col min="12291" max="12291" width="8" style="4" customWidth="1"/>
    <col min="12292" max="12292" width="7.28515625" style="4" customWidth="1"/>
    <col min="12293" max="12293" width="8.85546875" style="4"/>
    <col min="12294" max="12294" width="9.42578125" style="4" customWidth="1"/>
    <col min="12295" max="12544" width="8.85546875" style="4"/>
    <col min="12545" max="12545" width="4.5703125" style="4" customWidth="1"/>
    <col min="12546" max="12546" width="34.28515625" style="4" customWidth="1"/>
    <col min="12547" max="12547" width="8" style="4" customWidth="1"/>
    <col min="12548" max="12548" width="7.28515625" style="4" customWidth="1"/>
    <col min="12549" max="12549" width="8.85546875" style="4"/>
    <col min="12550" max="12550" width="9.42578125" style="4" customWidth="1"/>
    <col min="12551" max="12800" width="8.85546875" style="4"/>
    <col min="12801" max="12801" width="4.5703125" style="4" customWidth="1"/>
    <col min="12802" max="12802" width="34.28515625" style="4" customWidth="1"/>
    <col min="12803" max="12803" width="8" style="4" customWidth="1"/>
    <col min="12804" max="12804" width="7.28515625" style="4" customWidth="1"/>
    <col min="12805" max="12805" width="8.85546875" style="4"/>
    <col min="12806" max="12806" width="9.42578125" style="4" customWidth="1"/>
    <col min="12807" max="13056" width="8.85546875" style="4"/>
    <col min="13057" max="13057" width="4.5703125" style="4" customWidth="1"/>
    <col min="13058" max="13058" width="34.28515625" style="4" customWidth="1"/>
    <col min="13059" max="13059" width="8" style="4" customWidth="1"/>
    <col min="13060" max="13060" width="7.28515625" style="4" customWidth="1"/>
    <col min="13061" max="13061" width="8.85546875" style="4"/>
    <col min="13062" max="13062" width="9.42578125" style="4" customWidth="1"/>
    <col min="13063" max="13312" width="8.85546875" style="4"/>
    <col min="13313" max="13313" width="4.5703125" style="4" customWidth="1"/>
    <col min="13314" max="13314" width="34.28515625" style="4" customWidth="1"/>
    <col min="13315" max="13315" width="8" style="4" customWidth="1"/>
    <col min="13316" max="13316" width="7.28515625" style="4" customWidth="1"/>
    <col min="13317" max="13317" width="8.85546875" style="4"/>
    <col min="13318" max="13318" width="9.42578125" style="4" customWidth="1"/>
    <col min="13319" max="13568" width="8.85546875" style="4"/>
    <col min="13569" max="13569" width="4.5703125" style="4" customWidth="1"/>
    <col min="13570" max="13570" width="34.28515625" style="4" customWidth="1"/>
    <col min="13571" max="13571" width="8" style="4" customWidth="1"/>
    <col min="13572" max="13572" width="7.28515625" style="4" customWidth="1"/>
    <col min="13573" max="13573" width="8.85546875" style="4"/>
    <col min="13574" max="13574" width="9.42578125" style="4" customWidth="1"/>
    <col min="13575" max="13824" width="8.85546875" style="4"/>
    <col min="13825" max="13825" width="4.5703125" style="4" customWidth="1"/>
    <col min="13826" max="13826" width="34.28515625" style="4" customWidth="1"/>
    <col min="13827" max="13827" width="8" style="4" customWidth="1"/>
    <col min="13828" max="13828" width="7.28515625" style="4" customWidth="1"/>
    <col min="13829" max="13829" width="8.85546875" style="4"/>
    <col min="13830" max="13830" width="9.42578125" style="4" customWidth="1"/>
    <col min="13831" max="14080" width="8.85546875" style="4"/>
    <col min="14081" max="14081" width="4.5703125" style="4" customWidth="1"/>
    <col min="14082" max="14082" width="34.28515625" style="4" customWidth="1"/>
    <col min="14083" max="14083" width="8" style="4" customWidth="1"/>
    <col min="14084" max="14084" width="7.28515625" style="4" customWidth="1"/>
    <col min="14085" max="14085" width="8.85546875" style="4"/>
    <col min="14086" max="14086" width="9.42578125" style="4" customWidth="1"/>
    <col min="14087" max="14336" width="8.85546875" style="4"/>
    <col min="14337" max="14337" width="4.5703125" style="4" customWidth="1"/>
    <col min="14338" max="14338" width="34.28515625" style="4" customWidth="1"/>
    <col min="14339" max="14339" width="8" style="4" customWidth="1"/>
    <col min="14340" max="14340" width="7.28515625" style="4" customWidth="1"/>
    <col min="14341" max="14341" width="8.85546875" style="4"/>
    <col min="14342" max="14342" width="9.42578125" style="4" customWidth="1"/>
    <col min="14343" max="14592" width="8.85546875" style="4"/>
    <col min="14593" max="14593" width="4.5703125" style="4" customWidth="1"/>
    <col min="14594" max="14594" width="34.28515625" style="4" customWidth="1"/>
    <col min="14595" max="14595" width="8" style="4" customWidth="1"/>
    <col min="14596" max="14596" width="7.28515625" style="4" customWidth="1"/>
    <col min="14597" max="14597" width="8.85546875" style="4"/>
    <col min="14598" max="14598" width="9.42578125" style="4" customWidth="1"/>
    <col min="14599" max="14848" width="8.85546875" style="4"/>
    <col min="14849" max="14849" width="4.5703125" style="4" customWidth="1"/>
    <col min="14850" max="14850" width="34.28515625" style="4" customWidth="1"/>
    <col min="14851" max="14851" width="8" style="4" customWidth="1"/>
    <col min="14852" max="14852" width="7.28515625" style="4" customWidth="1"/>
    <col min="14853" max="14853" width="8.85546875" style="4"/>
    <col min="14854" max="14854" width="9.42578125" style="4" customWidth="1"/>
    <col min="14855" max="15104" width="8.85546875" style="4"/>
    <col min="15105" max="15105" width="4.5703125" style="4" customWidth="1"/>
    <col min="15106" max="15106" width="34.28515625" style="4" customWidth="1"/>
    <col min="15107" max="15107" width="8" style="4" customWidth="1"/>
    <col min="15108" max="15108" width="7.28515625" style="4" customWidth="1"/>
    <col min="15109" max="15109" width="8.85546875" style="4"/>
    <col min="15110" max="15110" width="9.42578125" style="4" customWidth="1"/>
    <col min="15111" max="15360" width="8.85546875" style="4"/>
    <col min="15361" max="15361" width="4.5703125" style="4" customWidth="1"/>
    <col min="15362" max="15362" width="34.28515625" style="4" customWidth="1"/>
    <col min="15363" max="15363" width="8" style="4" customWidth="1"/>
    <col min="15364" max="15364" width="7.28515625" style="4" customWidth="1"/>
    <col min="15365" max="15365" width="8.85546875" style="4"/>
    <col min="15366" max="15366" width="9.42578125" style="4" customWidth="1"/>
    <col min="15367" max="15616" width="8.85546875" style="4"/>
    <col min="15617" max="15617" width="4.5703125" style="4" customWidth="1"/>
    <col min="15618" max="15618" width="34.28515625" style="4" customWidth="1"/>
    <col min="15619" max="15619" width="8" style="4" customWidth="1"/>
    <col min="15620" max="15620" width="7.28515625" style="4" customWidth="1"/>
    <col min="15621" max="15621" width="8.85546875" style="4"/>
    <col min="15622" max="15622" width="9.42578125" style="4" customWidth="1"/>
    <col min="15623" max="15872" width="8.85546875" style="4"/>
    <col min="15873" max="15873" width="4.5703125" style="4" customWidth="1"/>
    <col min="15874" max="15874" width="34.28515625" style="4" customWidth="1"/>
    <col min="15875" max="15875" width="8" style="4" customWidth="1"/>
    <col min="15876" max="15876" width="7.28515625" style="4" customWidth="1"/>
    <col min="15877" max="15877" width="8.85546875" style="4"/>
    <col min="15878" max="15878" width="9.42578125" style="4" customWidth="1"/>
    <col min="15879" max="16128" width="8.85546875" style="4"/>
    <col min="16129" max="16129" width="4.5703125" style="4" customWidth="1"/>
    <col min="16130" max="16130" width="34.28515625" style="4" customWidth="1"/>
    <col min="16131" max="16131" width="8" style="4" customWidth="1"/>
    <col min="16132" max="16132" width="7.28515625" style="4" customWidth="1"/>
    <col min="16133" max="16133" width="8.85546875" style="4"/>
    <col min="16134" max="16134" width="9.42578125" style="4" customWidth="1"/>
    <col min="16135" max="16384" width="8.85546875" style="4"/>
  </cols>
  <sheetData>
    <row r="1" spans="1:1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1"/>
    </row>
    <row r="2" spans="1:13" ht="15.75">
      <c r="A2" s="1"/>
      <c r="B2" s="255" t="s">
        <v>0</v>
      </c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1"/>
    </row>
    <row r="3" spans="1:13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1"/>
    </row>
    <row r="4" spans="1:13" ht="14.25" customHeight="1">
      <c r="A4" s="1"/>
      <c r="B4" s="6"/>
      <c r="C4" s="6"/>
      <c r="D4" s="6"/>
      <c r="E4" s="7"/>
      <c r="F4" s="8" t="s">
        <v>1</v>
      </c>
      <c r="G4" s="256" t="s">
        <v>2</v>
      </c>
      <c r="H4" s="256"/>
      <c r="I4" s="256"/>
      <c r="J4" s="256"/>
      <c r="K4" s="256"/>
      <c r="L4" s="256"/>
      <c r="M4" s="9"/>
    </row>
    <row r="5" spans="1:13">
      <c r="A5" s="1"/>
      <c r="B5" s="10"/>
      <c r="C5" s="10"/>
      <c r="D5" s="10"/>
      <c r="E5" s="10"/>
      <c r="F5" s="10"/>
      <c r="G5" s="1"/>
      <c r="H5" s="1"/>
      <c r="I5" s="1"/>
      <c r="J5" s="1"/>
      <c r="K5" s="1"/>
      <c r="L5" s="1"/>
      <c r="M5" s="1"/>
    </row>
    <row r="6" spans="1:13">
      <c r="A6" s="11"/>
      <c r="B6" s="257" t="s">
        <v>3</v>
      </c>
      <c r="C6" s="257"/>
      <c r="D6" s="257"/>
      <c r="E6" s="257"/>
      <c r="F6" s="257"/>
      <c r="G6" s="257"/>
      <c r="H6" s="257"/>
      <c r="I6" s="257"/>
      <c r="J6" s="257"/>
      <c r="K6" s="257"/>
      <c r="L6" s="257"/>
      <c r="M6" s="1"/>
    </row>
    <row r="7" spans="1:13">
      <c r="A7" s="10"/>
      <c r="B7" s="258" t="s">
        <v>4</v>
      </c>
      <c r="C7" s="258"/>
      <c r="D7" s="258"/>
      <c r="E7" s="258"/>
      <c r="F7" s="258"/>
      <c r="G7" s="258"/>
      <c r="H7" s="258"/>
      <c r="I7" s="258"/>
      <c r="J7" s="258"/>
      <c r="K7" s="258"/>
      <c r="L7" s="258"/>
      <c r="M7" s="1"/>
    </row>
    <row r="8" spans="1:13">
      <c r="A8" s="1"/>
      <c r="B8" s="1"/>
      <c r="C8" s="1"/>
      <c r="D8" s="1"/>
      <c r="E8" s="1"/>
      <c r="F8" s="12"/>
      <c r="G8" s="1"/>
      <c r="H8" s="1"/>
      <c r="I8" s="1"/>
      <c r="J8" s="1"/>
      <c r="K8" s="1"/>
      <c r="L8" s="1"/>
      <c r="M8" s="1"/>
    </row>
    <row r="9" spans="1:13">
      <c r="A9" s="259" t="s">
        <v>5</v>
      </c>
      <c r="B9" s="259"/>
      <c r="C9" s="259"/>
      <c r="D9" s="259"/>
      <c r="E9" s="259"/>
      <c r="F9" s="259"/>
      <c r="G9" s="259"/>
      <c r="H9" s="259"/>
      <c r="I9" s="259"/>
      <c r="J9" s="259"/>
      <c r="K9" s="259"/>
      <c r="L9" s="1"/>
      <c r="M9" s="13" t="s">
        <v>6</v>
      </c>
    </row>
    <row r="10" spans="1:13" ht="15.6" customHeight="1">
      <c r="A10" s="248" t="s">
        <v>7</v>
      </c>
      <c r="B10" s="248" t="s">
        <v>8</v>
      </c>
      <c r="C10" s="250" t="s">
        <v>9</v>
      </c>
      <c r="D10" s="248" t="s">
        <v>10</v>
      </c>
      <c r="E10" s="252" t="s">
        <v>11</v>
      </c>
      <c r="F10" s="253"/>
      <c r="G10" s="253"/>
      <c r="H10" s="253"/>
      <c r="I10" s="254"/>
      <c r="J10" s="243" t="s">
        <v>12</v>
      </c>
      <c r="K10" s="243" t="s">
        <v>13</v>
      </c>
      <c r="L10" s="243" t="s">
        <v>14</v>
      </c>
      <c r="M10" s="243" t="s">
        <v>15</v>
      </c>
    </row>
    <row r="11" spans="1:13" ht="35.1" customHeight="1">
      <c r="A11" s="249"/>
      <c r="B11" s="249"/>
      <c r="C11" s="251"/>
      <c r="D11" s="249"/>
      <c r="E11" s="14" t="s">
        <v>16</v>
      </c>
      <c r="F11" s="14" t="s">
        <v>17</v>
      </c>
      <c r="G11" s="14" t="s">
        <v>18</v>
      </c>
      <c r="H11" s="14" t="s">
        <v>19</v>
      </c>
      <c r="I11" s="15" t="s">
        <v>20</v>
      </c>
      <c r="J11" s="244"/>
      <c r="K11" s="244"/>
      <c r="L11" s="244"/>
      <c r="M11" s="244"/>
    </row>
    <row r="12" spans="1:13">
      <c r="A12" s="16">
        <v>1</v>
      </c>
      <c r="B12" s="17">
        <v>2</v>
      </c>
      <c r="C12" s="17">
        <v>3</v>
      </c>
      <c r="D12" s="17">
        <v>4</v>
      </c>
      <c r="E12" s="17">
        <v>5</v>
      </c>
      <c r="F12" s="18">
        <v>6</v>
      </c>
      <c r="G12" s="17">
        <v>7</v>
      </c>
      <c r="H12" s="17">
        <v>8</v>
      </c>
      <c r="I12" s="17">
        <v>9</v>
      </c>
      <c r="J12" s="17">
        <v>10</v>
      </c>
      <c r="K12" s="17">
        <v>11</v>
      </c>
      <c r="L12" s="17">
        <v>12</v>
      </c>
      <c r="M12" s="17">
        <v>13</v>
      </c>
    </row>
    <row r="13" spans="1:13">
      <c r="A13" s="245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7"/>
    </row>
    <row r="14" spans="1:13" outlineLevel="2">
      <c r="A14" s="19" t="s">
        <v>21</v>
      </c>
      <c r="B14" s="20" t="s">
        <v>22</v>
      </c>
      <c r="C14" s="21"/>
      <c r="D14" s="22"/>
      <c r="E14" s="23">
        <v>7791416</v>
      </c>
      <c r="F14" s="24">
        <v>3565426</v>
      </c>
      <c r="G14" s="23"/>
      <c r="H14" s="23"/>
      <c r="I14" s="23">
        <v>11356842</v>
      </c>
      <c r="J14" s="23">
        <v>454</v>
      </c>
      <c r="K14" s="23">
        <v>2425617</v>
      </c>
      <c r="L14" s="23"/>
      <c r="M14" s="25">
        <v>100</v>
      </c>
    </row>
    <row r="15" spans="1:13">
      <c r="A15" s="26"/>
      <c r="B15" s="27" t="s">
        <v>23</v>
      </c>
      <c r="C15" s="28"/>
      <c r="D15" s="29"/>
      <c r="E15" s="30">
        <v>7791416</v>
      </c>
      <c r="F15" s="31">
        <v>3565426</v>
      </c>
      <c r="G15" s="30"/>
      <c r="H15" s="30"/>
      <c r="I15" s="30">
        <v>11356842</v>
      </c>
      <c r="J15" s="30">
        <v>454</v>
      </c>
      <c r="K15" s="30">
        <v>2425617</v>
      </c>
      <c r="L15" s="30"/>
      <c r="M15" s="32">
        <v>100</v>
      </c>
    </row>
    <row r="16" spans="1:13">
      <c r="A16" s="33"/>
      <c r="B16" s="34"/>
      <c r="C16" s="34"/>
      <c r="D16" s="34"/>
      <c r="E16" s="34"/>
      <c r="F16" s="34"/>
      <c r="G16" s="34"/>
      <c r="H16" s="35"/>
      <c r="I16" s="35"/>
      <c r="J16" s="35"/>
      <c r="K16" s="35"/>
      <c r="L16" s="35"/>
      <c r="M16" s="35"/>
    </row>
    <row r="17" spans="1:13" ht="12.75" customHeight="1">
      <c r="A17" s="33"/>
      <c r="B17" s="242" t="s">
        <v>24</v>
      </c>
      <c r="C17" s="242"/>
      <c r="D17" s="242"/>
      <c r="E17" s="242"/>
      <c r="F17" s="242"/>
      <c r="G17" s="242"/>
      <c r="H17" s="242" t="s">
        <v>25</v>
      </c>
      <c r="I17" s="242"/>
      <c r="J17" s="242"/>
      <c r="K17" s="242"/>
      <c r="L17" s="242"/>
      <c r="M17" s="242"/>
    </row>
    <row r="18" spans="1:13">
      <c r="A18" s="33"/>
      <c r="B18" s="34"/>
      <c r="C18" s="34"/>
      <c r="D18" s="34"/>
      <c r="E18" s="34"/>
      <c r="F18" s="34"/>
      <c r="G18" s="34"/>
      <c r="H18" s="35"/>
      <c r="I18" s="35"/>
      <c r="J18" s="35"/>
      <c r="K18" s="35"/>
      <c r="L18" s="35"/>
      <c r="M18" s="35"/>
    </row>
    <row r="19" spans="1:13" ht="12.75" customHeight="1">
      <c r="A19" s="33"/>
      <c r="B19" s="242" t="s">
        <v>26</v>
      </c>
      <c r="C19" s="242"/>
      <c r="D19" s="242"/>
      <c r="E19" s="242"/>
      <c r="F19" s="242"/>
      <c r="G19" s="242"/>
      <c r="H19" s="242" t="s">
        <v>27</v>
      </c>
      <c r="I19" s="242"/>
      <c r="J19" s="242"/>
      <c r="K19" s="242"/>
      <c r="L19" s="242"/>
      <c r="M19" s="242"/>
    </row>
  </sheetData>
  <mergeCells count="19">
    <mergeCell ref="B2:L2"/>
    <mergeCell ref="G4:L4"/>
    <mergeCell ref="B6:L6"/>
    <mergeCell ref="B7:L7"/>
    <mergeCell ref="A9:K9"/>
    <mergeCell ref="B19:G19"/>
    <mergeCell ref="H19:M19"/>
    <mergeCell ref="J10:J11"/>
    <mergeCell ref="K10:K11"/>
    <mergeCell ref="L10:L11"/>
    <mergeCell ref="M10:M11"/>
    <mergeCell ref="A13:M13"/>
    <mergeCell ref="B17:G17"/>
    <mergeCell ref="H17:M17"/>
    <mergeCell ref="A10:A11"/>
    <mergeCell ref="B10:B11"/>
    <mergeCell ref="C10:C11"/>
    <mergeCell ref="D10:D11"/>
    <mergeCell ref="E10:I10"/>
  </mergeCells>
  <pageMargins left="0.59" right="0.39" top="0.98" bottom="0.98" header="0.51" footer="0.51"/>
  <pageSetup paperSize="9" fitToHeight="10000" orientation="landscape" horizontalDpi="300" verticalDpi="300" r:id="rId1"/>
  <headerFooter>
    <oddHeader>&amp;LПрограммный комплекс АВС (редакция 2023.10)&amp;C&amp;P&amp;R360014020</oddHeader>
    <oddFooter>&amp;CСтраниц -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4"/>
  <sheetViews>
    <sheetView showGridLines="0" workbookViewId="0"/>
  </sheetViews>
  <sheetFormatPr defaultRowHeight="12.75"/>
  <cols>
    <col min="1" max="1" width="6.7109375" style="4" customWidth="1"/>
    <col min="2" max="2" width="155.7109375" style="4" customWidth="1"/>
    <col min="3" max="256" width="8.85546875" style="4"/>
    <col min="257" max="257" width="6.7109375" style="4" customWidth="1"/>
    <col min="258" max="258" width="155.7109375" style="4" customWidth="1"/>
    <col min="259" max="512" width="8.85546875" style="4"/>
    <col min="513" max="513" width="6.7109375" style="4" customWidth="1"/>
    <col min="514" max="514" width="155.7109375" style="4" customWidth="1"/>
    <col min="515" max="768" width="8.85546875" style="4"/>
    <col min="769" max="769" width="6.7109375" style="4" customWidth="1"/>
    <col min="770" max="770" width="155.7109375" style="4" customWidth="1"/>
    <col min="771" max="1024" width="8.85546875" style="4"/>
    <col min="1025" max="1025" width="6.7109375" style="4" customWidth="1"/>
    <col min="1026" max="1026" width="155.7109375" style="4" customWidth="1"/>
    <col min="1027" max="1280" width="8.85546875" style="4"/>
    <col min="1281" max="1281" width="6.7109375" style="4" customWidth="1"/>
    <col min="1282" max="1282" width="155.7109375" style="4" customWidth="1"/>
    <col min="1283" max="1536" width="8.85546875" style="4"/>
    <col min="1537" max="1537" width="6.7109375" style="4" customWidth="1"/>
    <col min="1538" max="1538" width="155.7109375" style="4" customWidth="1"/>
    <col min="1539" max="1792" width="8.85546875" style="4"/>
    <col min="1793" max="1793" width="6.7109375" style="4" customWidth="1"/>
    <col min="1794" max="1794" width="155.7109375" style="4" customWidth="1"/>
    <col min="1795" max="2048" width="8.85546875" style="4"/>
    <col min="2049" max="2049" width="6.7109375" style="4" customWidth="1"/>
    <col min="2050" max="2050" width="155.7109375" style="4" customWidth="1"/>
    <col min="2051" max="2304" width="8.85546875" style="4"/>
    <col min="2305" max="2305" width="6.7109375" style="4" customWidth="1"/>
    <col min="2306" max="2306" width="155.7109375" style="4" customWidth="1"/>
    <col min="2307" max="2560" width="8.85546875" style="4"/>
    <col min="2561" max="2561" width="6.7109375" style="4" customWidth="1"/>
    <col min="2562" max="2562" width="155.7109375" style="4" customWidth="1"/>
    <col min="2563" max="2816" width="8.85546875" style="4"/>
    <col min="2817" max="2817" width="6.7109375" style="4" customWidth="1"/>
    <col min="2818" max="2818" width="155.7109375" style="4" customWidth="1"/>
    <col min="2819" max="3072" width="8.85546875" style="4"/>
    <col min="3073" max="3073" width="6.7109375" style="4" customWidth="1"/>
    <col min="3074" max="3074" width="155.7109375" style="4" customWidth="1"/>
    <col min="3075" max="3328" width="8.85546875" style="4"/>
    <col min="3329" max="3329" width="6.7109375" style="4" customWidth="1"/>
    <col min="3330" max="3330" width="155.7109375" style="4" customWidth="1"/>
    <col min="3331" max="3584" width="8.85546875" style="4"/>
    <col min="3585" max="3585" width="6.7109375" style="4" customWidth="1"/>
    <col min="3586" max="3586" width="155.7109375" style="4" customWidth="1"/>
    <col min="3587" max="3840" width="8.85546875" style="4"/>
    <col min="3841" max="3841" width="6.7109375" style="4" customWidth="1"/>
    <col min="3842" max="3842" width="155.7109375" style="4" customWidth="1"/>
    <col min="3843" max="4096" width="8.85546875" style="4"/>
    <col min="4097" max="4097" width="6.7109375" style="4" customWidth="1"/>
    <col min="4098" max="4098" width="155.7109375" style="4" customWidth="1"/>
    <col min="4099" max="4352" width="8.85546875" style="4"/>
    <col min="4353" max="4353" width="6.7109375" style="4" customWidth="1"/>
    <col min="4354" max="4354" width="155.7109375" style="4" customWidth="1"/>
    <col min="4355" max="4608" width="8.85546875" style="4"/>
    <col min="4609" max="4609" width="6.7109375" style="4" customWidth="1"/>
    <col min="4610" max="4610" width="155.7109375" style="4" customWidth="1"/>
    <col min="4611" max="4864" width="8.85546875" style="4"/>
    <col min="4865" max="4865" width="6.7109375" style="4" customWidth="1"/>
    <col min="4866" max="4866" width="155.7109375" style="4" customWidth="1"/>
    <col min="4867" max="5120" width="8.85546875" style="4"/>
    <col min="5121" max="5121" width="6.7109375" style="4" customWidth="1"/>
    <col min="5122" max="5122" width="155.7109375" style="4" customWidth="1"/>
    <col min="5123" max="5376" width="8.85546875" style="4"/>
    <col min="5377" max="5377" width="6.7109375" style="4" customWidth="1"/>
    <col min="5378" max="5378" width="155.7109375" style="4" customWidth="1"/>
    <col min="5379" max="5632" width="8.85546875" style="4"/>
    <col min="5633" max="5633" width="6.7109375" style="4" customWidth="1"/>
    <col min="5634" max="5634" width="155.7109375" style="4" customWidth="1"/>
    <col min="5635" max="5888" width="8.85546875" style="4"/>
    <col min="5889" max="5889" width="6.7109375" style="4" customWidth="1"/>
    <col min="5890" max="5890" width="155.7109375" style="4" customWidth="1"/>
    <col min="5891" max="6144" width="8.85546875" style="4"/>
    <col min="6145" max="6145" width="6.7109375" style="4" customWidth="1"/>
    <col min="6146" max="6146" width="155.7109375" style="4" customWidth="1"/>
    <col min="6147" max="6400" width="8.85546875" style="4"/>
    <col min="6401" max="6401" width="6.7109375" style="4" customWidth="1"/>
    <col min="6402" max="6402" width="155.7109375" style="4" customWidth="1"/>
    <col min="6403" max="6656" width="8.85546875" style="4"/>
    <col min="6657" max="6657" width="6.7109375" style="4" customWidth="1"/>
    <col min="6658" max="6658" width="155.7109375" style="4" customWidth="1"/>
    <col min="6659" max="6912" width="8.85546875" style="4"/>
    <col min="6913" max="6913" width="6.7109375" style="4" customWidth="1"/>
    <col min="6914" max="6914" width="155.7109375" style="4" customWidth="1"/>
    <col min="6915" max="7168" width="8.85546875" style="4"/>
    <col min="7169" max="7169" width="6.7109375" style="4" customWidth="1"/>
    <col min="7170" max="7170" width="155.7109375" style="4" customWidth="1"/>
    <col min="7171" max="7424" width="8.85546875" style="4"/>
    <col min="7425" max="7425" width="6.7109375" style="4" customWidth="1"/>
    <col min="7426" max="7426" width="155.7109375" style="4" customWidth="1"/>
    <col min="7427" max="7680" width="8.85546875" style="4"/>
    <col min="7681" max="7681" width="6.7109375" style="4" customWidth="1"/>
    <col min="7682" max="7682" width="155.7109375" style="4" customWidth="1"/>
    <col min="7683" max="7936" width="8.85546875" style="4"/>
    <col min="7937" max="7937" width="6.7109375" style="4" customWidth="1"/>
    <col min="7938" max="7938" width="155.7109375" style="4" customWidth="1"/>
    <col min="7939" max="8192" width="8.85546875" style="4"/>
    <col min="8193" max="8193" width="6.7109375" style="4" customWidth="1"/>
    <col min="8194" max="8194" width="155.7109375" style="4" customWidth="1"/>
    <col min="8195" max="8448" width="8.85546875" style="4"/>
    <col min="8449" max="8449" width="6.7109375" style="4" customWidth="1"/>
    <col min="8450" max="8450" width="155.7109375" style="4" customWidth="1"/>
    <col min="8451" max="8704" width="8.85546875" style="4"/>
    <col min="8705" max="8705" width="6.7109375" style="4" customWidth="1"/>
    <col min="8706" max="8706" width="155.7109375" style="4" customWidth="1"/>
    <col min="8707" max="8960" width="8.85546875" style="4"/>
    <col min="8961" max="8961" width="6.7109375" style="4" customWidth="1"/>
    <col min="8962" max="8962" width="155.7109375" style="4" customWidth="1"/>
    <col min="8963" max="9216" width="8.85546875" style="4"/>
    <col min="9217" max="9217" width="6.7109375" style="4" customWidth="1"/>
    <col min="9218" max="9218" width="155.7109375" style="4" customWidth="1"/>
    <col min="9219" max="9472" width="8.85546875" style="4"/>
    <col min="9473" max="9473" width="6.7109375" style="4" customWidth="1"/>
    <col min="9474" max="9474" width="155.7109375" style="4" customWidth="1"/>
    <col min="9475" max="9728" width="8.85546875" style="4"/>
    <col min="9729" max="9729" width="6.7109375" style="4" customWidth="1"/>
    <col min="9730" max="9730" width="155.7109375" style="4" customWidth="1"/>
    <col min="9731" max="9984" width="8.85546875" style="4"/>
    <col min="9985" max="9985" width="6.7109375" style="4" customWidth="1"/>
    <col min="9986" max="9986" width="155.7109375" style="4" customWidth="1"/>
    <col min="9987" max="10240" width="8.85546875" style="4"/>
    <col min="10241" max="10241" width="6.7109375" style="4" customWidth="1"/>
    <col min="10242" max="10242" width="155.7109375" style="4" customWidth="1"/>
    <col min="10243" max="10496" width="8.85546875" style="4"/>
    <col min="10497" max="10497" width="6.7109375" style="4" customWidth="1"/>
    <col min="10498" max="10498" width="155.7109375" style="4" customWidth="1"/>
    <col min="10499" max="10752" width="8.85546875" style="4"/>
    <col min="10753" max="10753" width="6.7109375" style="4" customWidth="1"/>
    <col min="10754" max="10754" width="155.7109375" style="4" customWidth="1"/>
    <col min="10755" max="11008" width="8.85546875" style="4"/>
    <col min="11009" max="11009" width="6.7109375" style="4" customWidth="1"/>
    <col min="11010" max="11010" width="155.7109375" style="4" customWidth="1"/>
    <col min="11011" max="11264" width="8.85546875" style="4"/>
    <col min="11265" max="11265" width="6.7109375" style="4" customWidth="1"/>
    <col min="11266" max="11266" width="155.7109375" style="4" customWidth="1"/>
    <col min="11267" max="11520" width="8.85546875" style="4"/>
    <col min="11521" max="11521" width="6.7109375" style="4" customWidth="1"/>
    <col min="11522" max="11522" width="155.7109375" style="4" customWidth="1"/>
    <col min="11523" max="11776" width="8.85546875" style="4"/>
    <col min="11777" max="11777" width="6.7109375" style="4" customWidth="1"/>
    <col min="11778" max="11778" width="155.7109375" style="4" customWidth="1"/>
    <col min="11779" max="12032" width="8.85546875" style="4"/>
    <col min="12033" max="12033" width="6.7109375" style="4" customWidth="1"/>
    <col min="12034" max="12034" width="155.7109375" style="4" customWidth="1"/>
    <col min="12035" max="12288" width="8.85546875" style="4"/>
    <col min="12289" max="12289" width="6.7109375" style="4" customWidth="1"/>
    <col min="12290" max="12290" width="155.7109375" style="4" customWidth="1"/>
    <col min="12291" max="12544" width="8.85546875" style="4"/>
    <col min="12545" max="12545" width="6.7109375" style="4" customWidth="1"/>
    <col min="12546" max="12546" width="155.7109375" style="4" customWidth="1"/>
    <col min="12547" max="12800" width="8.85546875" style="4"/>
    <col min="12801" max="12801" width="6.7109375" style="4" customWidth="1"/>
    <col min="12802" max="12802" width="155.7109375" style="4" customWidth="1"/>
    <col min="12803" max="13056" width="8.85546875" style="4"/>
    <col min="13057" max="13057" width="6.7109375" style="4" customWidth="1"/>
    <col min="13058" max="13058" width="155.7109375" style="4" customWidth="1"/>
    <col min="13059" max="13312" width="8.85546875" style="4"/>
    <col min="13313" max="13313" width="6.7109375" style="4" customWidth="1"/>
    <col min="13314" max="13314" width="155.7109375" style="4" customWidth="1"/>
    <col min="13315" max="13568" width="8.85546875" style="4"/>
    <col min="13569" max="13569" width="6.7109375" style="4" customWidth="1"/>
    <col min="13570" max="13570" width="155.7109375" style="4" customWidth="1"/>
    <col min="13571" max="13824" width="8.85546875" style="4"/>
    <col min="13825" max="13825" width="6.7109375" style="4" customWidth="1"/>
    <col min="13826" max="13826" width="155.7109375" style="4" customWidth="1"/>
    <col min="13827" max="14080" width="8.85546875" style="4"/>
    <col min="14081" max="14081" width="6.7109375" style="4" customWidth="1"/>
    <col min="14082" max="14082" width="155.7109375" style="4" customWidth="1"/>
    <col min="14083" max="14336" width="8.85546875" style="4"/>
    <col min="14337" max="14337" width="6.7109375" style="4" customWidth="1"/>
    <col min="14338" max="14338" width="155.7109375" style="4" customWidth="1"/>
    <col min="14339" max="14592" width="8.85546875" style="4"/>
    <col min="14593" max="14593" width="6.7109375" style="4" customWidth="1"/>
    <col min="14594" max="14594" width="155.7109375" style="4" customWidth="1"/>
    <col min="14595" max="14848" width="8.85546875" style="4"/>
    <col min="14849" max="14849" width="6.7109375" style="4" customWidth="1"/>
    <col min="14850" max="14850" width="155.7109375" style="4" customWidth="1"/>
    <col min="14851" max="15104" width="8.85546875" style="4"/>
    <col min="15105" max="15105" width="6.7109375" style="4" customWidth="1"/>
    <col min="15106" max="15106" width="155.7109375" style="4" customWidth="1"/>
    <col min="15107" max="15360" width="8.85546875" style="4"/>
    <col min="15361" max="15361" width="6.7109375" style="4" customWidth="1"/>
    <col min="15362" max="15362" width="155.7109375" style="4" customWidth="1"/>
    <col min="15363" max="15616" width="8.85546875" style="4"/>
    <col min="15617" max="15617" width="6.7109375" style="4" customWidth="1"/>
    <col min="15618" max="15618" width="155.7109375" style="4" customWidth="1"/>
    <col min="15619" max="15872" width="8.85546875" style="4"/>
    <col min="15873" max="15873" width="6.7109375" style="4" customWidth="1"/>
    <col min="15874" max="15874" width="155.7109375" style="4" customWidth="1"/>
    <col min="15875" max="16128" width="8.85546875" style="4"/>
    <col min="16129" max="16129" width="6.7109375" style="4" customWidth="1"/>
    <col min="16130" max="16130" width="155.7109375" style="4" customWidth="1"/>
    <col min="16131" max="16384" width="8.85546875" style="4"/>
  </cols>
  <sheetData>
    <row r="1" spans="1:2" s="37" customFormat="1" ht="15.75">
      <c r="B1" s="38" t="s">
        <v>28</v>
      </c>
    </row>
    <row r="2" spans="1:2">
      <c r="A2" s="39" t="s">
        <v>29</v>
      </c>
      <c r="B2" s="40" t="s">
        <v>30</v>
      </c>
    </row>
    <row r="3" spans="1:2">
      <c r="A3" s="260"/>
      <c r="B3" s="261"/>
    </row>
    <row r="4" spans="1:2" ht="13.5">
      <c r="A4" s="41" t="s">
        <v>21</v>
      </c>
      <c r="B4" s="42" t="s">
        <v>31</v>
      </c>
    </row>
    <row r="5" spans="1:2" ht="54">
      <c r="A5" s="41" t="s">
        <v>32</v>
      </c>
      <c r="B5" s="42" t="s">
        <v>33</v>
      </c>
    </row>
    <row r="6" spans="1:2" ht="81">
      <c r="A6" s="41" t="s">
        <v>34</v>
      </c>
      <c r="B6" s="42" t="s">
        <v>35</v>
      </c>
    </row>
    <row r="7" spans="1:2" ht="13.5">
      <c r="A7" s="41" t="s">
        <v>36</v>
      </c>
      <c r="B7" s="42" t="s">
        <v>37</v>
      </c>
    </row>
    <row r="8" spans="1:2" ht="13.5">
      <c r="A8" s="41" t="s">
        <v>38</v>
      </c>
      <c r="B8" s="42" t="s">
        <v>39</v>
      </c>
    </row>
    <row r="9" spans="1:2" ht="13.5">
      <c r="A9" s="41" t="s">
        <v>40</v>
      </c>
      <c r="B9" s="42" t="s">
        <v>41</v>
      </c>
    </row>
    <row r="10" spans="1:2" ht="13.5">
      <c r="A10" s="41" t="s">
        <v>42</v>
      </c>
      <c r="B10" s="42" t="s">
        <v>43</v>
      </c>
    </row>
    <row r="11" spans="1:2" ht="13.5">
      <c r="A11" s="41" t="s">
        <v>44</v>
      </c>
      <c r="B11" s="42" t="s">
        <v>45</v>
      </c>
    </row>
    <row r="12" spans="1:2" ht="13.5">
      <c r="A12" s="41" t="s">
        <v>46</v>
      </c>
      <c r="B12" s="42" t="s">
        <v>47</v>
      </c>
    </row>
    <row r="13" spans="1:2" ht="13.5">
      <c r="A13" s="41" t="s">
        <v>48</v>
      </c>
      <c r="B13" s="42" t="s">
        <v>49</v>
      </c>
    </row>
    <row r="14" spans="1:2" ht="13.5">
      <c r="A14" s="41" t="s">
        <v>50</v>
      </c>
      <c r="B14" s="42" t="s">
        <v>51</v>
      </c>
    </row>
    <row r="15" spans="1:2" ht="13.5">
      <c r="A15" s="41" t="s">
        <v>52</v>
      </c>
      <c r="B15" s="42" t="s">
        <v>53</v>
      </c>
    </row>
    <row r="16" spans="1:2" ht="13.5">
      <c r="A16" s="41" t="s">
        <v>54</v>
      </c>
      <c r="B16" s="42" t="s">
        <v>55</v>
      </c>
    </row>
    <row r="17" spans="1:2" ht="13.5">
      <c r="A17" s="41" t="s">
        <v>56</v>
      </c>
      <c r="B17" s="42" t="s">
        <v>57</v>
      </c>
    </row>
    <row r="18" spans="1:2" ht="13.5">
      <c r="A18" s="41" t="s">
        <v>58</v>
      </c>
      <c r="B18" s="42" t="s">
        <v>59</v>
      </c>
    </row>
    <row r="19" spans="1:2" ht="13.5">
      <c r="A19" s="41" t="s">
        <v>60</v>
      </c>
      <c r="B19" s="42" t="s">
        <v>61</v>
      </c>
    </row>
    <row r="20" spans="1:2" ht="13.5">
      <c r="A20" s="41" t="s">
        <v>62</v>
      </c>
      <c r="B20" s="42" t="s">
        <v>63</v>
      </c>
    </row>
    <row r="21" spans="1:2" ht="13.5">
      <c r="A21" s="41" t="s">
        <v>64</v>
      </c>
      <c r="B21" s="42" t="s">
        <v>65</v>
      </c>
    </row>
    <row r="22" spans="1:2" ht="13.5">
      <c r="A22" s="41" t="s">
        <v>66</v>
      </c>
      <c r="B22" s="42" t="s">
        <v>67</v>
      </c>
    </row>
    <row r="23" spans="1:2" ht="27">
      <c r="A23" s="41" t="s">
        <v>68</v>
      </c>
      <c r="B23" s="42" t="s">
        <v>69</v>
      </c>
    </row>
    <row r="24" spans="1:2" ht="13.5">
      <c r="A24" s="41" t="s">
        <v>70</v>
      </c>
      <c r="B24" s="42" t="s">
        <v>71</v>
      </c>
    </row>
    <row r="25" spans="1:2" ht="13.5">
      <c r="A25" s="41" t="s">
        <v>72</v>
      </c>
      <c r="B25" s="42" t="s">
        <v>73</v>
      </c>
    </row>
    <row r="26" spans="1:2" ht="13.5">
      <c r="A26" s="41" t="s">
        <v>74</v>
      </c>
      <c r="B26" s="42" t="s">
        <v>75</v>
      </c>
    </row>
    <row r="27" spans="1:2" ht="27">
      <c r="A27" s="41" t="s">
        <v>76</v>
      </c>
      <c r="B27" s="42" t="s">
        <v>77</v>
      </c>
    </row>
    <row r="28" spans="1:2" ht="27">
      <c r="A28" s="41" t="s">
        <v>78</v>
      </c>
      <c r="B28" s="42" t="s">
        <v>79</v>
      </c>
    </row>
    <row r="29" spans="1:2" ht="15.75">
      <c r="A29" s="41" t="s">
        <v>80</v>
      </c>
      <c r="B29" s="42" t="s">
        <v>81</v>
      </c>
    </row>
    <row r="30" spans="1:2" ht="27">
      <c r="A30" s="41" t="s">
        <v>82</v>
      </c>
      <c r="B30" s="42" t="s">
        <v>83</v>
      </c>
    </row>
    <row r="31" spans="1:2" ht="27">
      <c r="A31" s="41" t="s">
        <v>84</v>
      </c>
      <c r="B31" s="42" t="s">
        <v>85</v>
      </c>
    </row>
    <row r="32" spans="1:2" ht="13.5">
      <c r="A32" s="41" t="s">
        <v>86</v>
      </c>
      <c r="B32" s="42" t="s">
        <v>87</v>
      </c>
    </row>
    <row r="33" spans="1:2" ht="27">
      <c r="A33" s="41" t="s">
        <v>88</v>
      </c>
      <c r="B33" s="42" t="s">
        <v>89</v>
      </c>
    </row>
    <row r="34" spans="1:2" ht="13.5">
      <c r="A34" s="41" t="s">
        <v>90</v>
      </c>
      <c r="B34" s="42" t="s">
        <v>91</v>
      </c>
    </row>
  </sheetData>
  <mergeCells count="1">
    <mergeCell ref="A3:B3"/>
  </mergeCells>
  <pageMargins left="0.59" right="0.47" top="0.79" bottom="0.79" header="0.47" footer="0.47"/>
  <pageSetup paperSize="9" scale="85" fitToHeight="10000" orientation="landscape" horizontalDpi="300" verticalDpi="300" r:id="rId1"/>
  <headerFooter>
    <oddHeader>&amp;L&amp;"Times New Roman,обычный"Программный комплекс АВС (редакция 2023.10) &amp;C&amp;"Times New Roman,обычный"&amp;P</oddHeader>
    <oddFooter>&amp;C&amp;"Times New Roman,Обычный"Страниц -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81"/>
  <sheetViews>
    <sheetView showGridLines="0" topLeftCell="A150" workbookViewId="0">
      <selection activeCell="M172" sqref="M172"/>
    </sheetView>
  </sheetViews>
  <sheetFormatPr defaultRowHeight="12.75" outlineLevelRow="2" outlineLevelCol="1"/>
  <cols>
    <col min="1" max="1" width="5.7109375" style="53" customWidth="1"/>
    <col min="2" max="2" width="16.7109375" style="53" customWidth="1"/>
    <col min="3" max="3" width="53" style="53" customWidth="1"/>
    <col min="4" max="4" width="12.7109375" style="53" customWidth="1"/>
    <col min="5" max="5" width="10.7109375" style="53" customWidth="1" outlineLevel="1"/>
    <col min="6" max="6" width="10.7109375" style="53" customWidth="1"/>
    <col min="7" max="13" width="12.7109375" style="53" customWidth="1"/>
    <col min="14" max="256" width="8.85546875" style="53"/>
    <col min="257" max="257" width="5.7109375" style="53" customWidth="1"/>
    <col min="258" max="258" width="16.7109375" style="53" customWidth="1"/>
    <col min="259" max="259" width="53" style="53" customWidth="1"/>
    <col min="260" max="260" width="12.7109375" style="53" customWidth="1"/>
    <col min="261" max="262" width="10.7109375" style="53" customWidth="1"/>
    <col min="263" max="269" width="12.7109375" style="53" customWidth="1"/>
    <col min="270" max="512" width="8.85546875" style="53"/>
    <col min="513" max="513" width="5.7109375" style="53" customWidth="1"/>
    <col min="514" max="514" width="16.7109375" style="53" customWidth="1"/>
    <col min="515" max="515" width="53" style="53" customWidth="1"/>
    <col min="516" max="516" width="12.7109375" style="53" customWidth="1"/>
    <col min="517" max="518" width="10.7109375" style="53" customWidth="1"/>
    <col min="519" max="525" width="12.7109375" style="53" customWidth="1"/>
    <col min="526" max="768" width="8.85546875" style="53"/>
    <col min="769" max="769" width="5.7109375" style="53" customWidth="1"/>
    <col min="770" max="770" width="16.7109375" style="53" customWidth="1"/>
    <col min="771" max="771" width="53" style="53" customWidth="1"/>
    <col min="772" max="772" width="12.7109375" style="53" customWidth="1"/>
    <col min="773" max="774" width="10.7109375" style="53" customWidth="1"/>
    <col min="775" max="781" width="12.7109375" style="53" customWidth="1"/>
    <col min="782" max="1024" width="8.85546875" style="53"/>
    <col min="1025" max="1025" width="5.7109375" style="53" customWidth="1"/>
    <col min="1026" max="1026" width="16.7109375" style="53" customWidth="1"/>
    <col min="1027" max="1027" width="53" style="53" customWidth="1"/>
    <col min="1028" max="1028" width="12.7109375" style="53" customWidth="1"/>
    <col min="1029" max="1030" width="10.7109375" style="53" customWidth="1"/>
    <col min="1031" max="1037" width="12.7109375" style="53" customWidth="1"/>
    <col min="1038" max="1280" width="8.85546875" style="53"/>
    <col min="1281" max="1281" width="5.7109375" style="53" customWidth="1"/>
    <col min="1282" max="1282" width="16.7109375" style="53" customWidth="1"/>
    <col min="1283" max="1283" width="53" style="53" customWidth="1"/>
    <col min="1284" max="1284" width="12.7109375" style="53" customWidth="1"/>
    <col min="1285" max="1286" width="10.7109375" style="53" customWidth="1"/>
    <col min="1287" max="1293" width="12.7109375" style="53" customWidth="1"/>
    <col min="1294" max="1536" width="8.85546875" style="53"/>
    <col min="1537" max="1537" width="5.7109375" style="53" customWidth="1"/>
    <col min="1538" max="1538" width="16.7109375" style="53" customWidth="1"/>
    <col min="1539" max="1539" width="53" style="53" customWidth="1"/>
    <col min="1540" max="1540" width="12.7109375" style="53" customWidth="1"/>
    <col min="1541" max="1542" width="10.7109375" style="53" customWidth="1"/>
    <col min="1543" max="1549" width="12.7109375" style="53" customWidth="1"/>
    <col min="1550" max="1792" width="8.85546875" style="53"/>
    <col min="1793" max="1793" width="5.7109375" style="53" customWidth="1"/>
    <col min="1794" max="1794" width="16.7109375" style="53" customWidth="1"/>
    <col min="1795" max="1795" width="53" style="53" customWidth="1"/>
    <col min="1796" max="1796" width="12.7109375" style="53" customWidth="1"/>
    <col min="1797" max="1798" width="10.7109375" style="53" customWidth="1"/>
    <col min="1799" max="1805" width="12.7109375" style="53" customWidth="1"/>
    <col min="1806" max="2048" width="8.85546875" style="53"/>
    <col min="2049" max="2049" width="5.7109375" style="53" customWidth="1"/>
    <col min="2050" max="2050" width="16.7109375" style="53" customWidth="1"/>
    <col min="2051" max="2051" width="53" style="53" customWidth="1"/>
    <col min="2052" max="2052" width="12.7109375" style="53" customWidth="1"/>
    <col min="2053" max="2054" width="10.7109375" style="53" customWidth="1"/>
    <col min="2055" max="2061" width="12.7109375" style="53" customWidth="1"/>
    <col min="2062" max="2304" width="8.85546875" style="53"/>
    <col min="2305" max="2305" width="5.7109375" style="53" customWidth="1"/>
    <col min="2306" max="2306" width="16.7109375" style="53" customWidth="1"/>
    <col min="2307" max="2307" width="53" style="53" customWidth="1"/>
    <col min="2308" max="2308" width="12.7109375" style="53" customWidth="1"/>
    <col min="2309" max="2310" width="10.7109375" style="53" customWidth="1"/>
    <col min="2311" max="2317" width="12.7109375" style="53" customWidth="1"/>
    <col min="2318" max="2560" width="8.85546875" style="53"/>
    <col min="2561" max="2561" width="5.7109375" style="53" customWidth="1"/>
    <col min="2562" max="2562" width="16.7109375" style="53" customWidth="1"/>
    <col min="2563" max="2563" width="53" style="53" customWidth="1"/>
    <col min="2564" max="2564" width="12.7109375" style="53" customWidth="1"/>
    <col min="2565" max="2566" width="10.7109375" style="53" customWidth="1"/>
    <col min="2567" max="2573" width="12.7109375" style="53" customWidth="1"/>
    <col min="2574" max="2816" width="8.85546875" style="53"/>
    <col min="2817" max="2817" width="5.7109375" style="53" customWidth="1"/>
    <col min="2818" max="2818" width="16.7109375" style="53" customWidth="1"/>
    <col min="2819" max="2819" width="53" style="53" customWidth="1"/>
    <col min="2820" max="2820" width="12.7109375" style="53" customWidth="1"/>
    <col min="2821" max="2822" width="10.7109375" style="53" customWidth="1"/>
    <col min="2823" max="2829" width="12.7109375" style="53" customWidth="1"/>
    <col min="2830" max="3072" width="8.85546875" style="53"/>
    <col min="3073" max="3073" width="5.7109375" style="53" customWidth="1"/>
    <col min="3074" max="3074" width="16.7109375" style="53" customWidth="1"/>
    <col min="3075" max="3075" width="53" style="53" customWidth="1"/>
    <col min="3076" max="3076" width="12.7109375" style="53" customWidth="1"/>
    <col min="3077" max="3078" width="10.7109375" style="53" customWidth="1"/>
    <col min="3079" max="3085" width="12.7109375" style="53" customWidth="1"/>
    <col min="3086" max="3328" width="8.85546875" style="53"/>
    <col min="3329" max="3329" width="5.7109375" style="53" customWidth="1"/>
    <col min="3330" max="3330" width="16.7109375" style="53" customWidth="1"/>
    <col min="3331" max="3331" width="53" style="53" customWidth="1"/>
    <col min="3332" max="3332" width="12.7109375" style="53" customWidth="1"/>
    <col min="3333" max="3334" width="10.7109375" style="53" customWidth="1"/>
    <col min="3335" max="3341" width="12.7109375" style="53" customWidth="1"/>
    <col min="3342" max="3584" width="8.85546875" style="53"/>
    <col min="3585" max="3585" width="5.7109375" style="53" customWidth="1"/>
    <col min="3586" max="3586" width="16.7109375" style="53" customWidth="1"/>
    <col min="3587" max="3587" width="53" style="53" customWidth="1"/>
    <col min="3588" max="3588" width="12.7109375" style="53" customWidth="1"/>
    <col min="3589" max="3590" width="10.7109375" style="53" customWidth="1"/>
    <col min="3591" max="3597" width="12.7109375" style="53" customWidth="1"/>
    <col min="3598" max="3840" width="8.85546875" style="53"/>
    <col min="3841" max="3841" width="5.7109375" style="53" customWidth="1"/>
    <col min="3842" max="3842" width="16.7109375" style="53" customWidth="1"/>
    <col min="3843" max="3843" width="53" style="53" customWidth="1"/>
    <col min="3844" max="3844" width="12.7109375" style="53" customWidth="1"/>
    <col min="3845" max="3846" width="10.7109375" style="53" customWidth="1"/>
    <col min="3847" max="3853" width="12.7109375" style="53" customWidth="1"/>
    <col min="3854" max="4096" width="8.85546875" style="53"/>
    <col min="4097" max="4097" width="5.7109375" style="53" customWidth="1"/>
    <col min="4098" max="4098" width="16.7109375" style="53" customWidth="1"/>
    <col min="4099" max="4099" width="53" style="53" customWidth="1"/>
    <col min="4100" max="4100" width="12.7109375" style="53" customWidth="1"/>
    <col min="4101" max="4102" width="10.7109375" style="53" customWidth="1"/>
    <col min="4103" max="4109" width="12.7109375" style="53" customWidth="1"/>
    <col min="4110" max="4352" width="8.85546875" style="53"/>
    <col min="4353" max="4353" width="5.7109375" style="53" customWidth="1"/>
    <col min="4354" max="4354" width="16.7109375" style="53" customWidth="1"/>
    <col min="4355" max="4355" width="53" style="53" customWidth="1"/>
    <col min="4356" max="4356" width="12.7109375" style="53" customWidth="1"/>
    <col min="4357" max="4358" width="10.7109375" style="53" customWidth="1"/>
    <col min="4359" max="4365" width="12.7109375" style="53" customWidth="1"/>
    <col min="4366" max="4608" width="8.85546875" style="53"/>
    <col min="4609" max="4609" width="5.7109375" style="53" customWidth="1"/>
    <col min="4610" max="4610" width="16.7109375" style="53" customWidth="1"/>
    <col min="4611" max="4611" width="53" style="53" customWidth="1"/>
    <col min="4612" max="4612" width="12.7109375" style="53" customWidth="1"/>
    <col min="4613" max="4614" width="10.7109375" style="53" customWidth="1"/>
    <col min="4615" max="4621" width="12.7109375" style="53" customWidth="1"/>
    <col min="4622" max="4864" width="8.85546875" style="53"/>
    <col min="4865" max="4865" width="5.7109375" style="53" customWidth="1"/>
    <col min="4866" max="4866" width="16.7109375" style="53" customWidth="1"/>
    <col min="4867" max="4867" width="53" style="53" customWidth="1"/>
    <col min="4868" max="4868" width="12.7109375" style="53" customWidth="1"/>
    <col min="4869" max="4870" width="10.7109375" style="53" customWidth="1"/>
    <col min="4871" max="4877" width="12.7109375" style="53" customWidth="1"/>
    <col min="4878" max="5120" width="8.85546875" style="53"/>
    <col min="5121" max="5121" width="5.7109375" style="53" customWidth="1"/>
    <col min="5122" max="5122" width="16.7109375" style="53" customWidth="1"/>
    <col min="5123" max="5123" width="53" style="53" customWidth="1"/>
    <col min="5124" max="5124" width="12.7109375" style="53" customWidth="1"/>
    <col min="5125" max="5126" width="10.7109375" style="53" customWidth="1"/>
    <col min="5127" max="5133" width="12.7109375" style="53" customWidth="1"/>
    <col min="5134" max="5376" width="8.85546875" style="53"/>
    <col min="5377" max="5377" width="5.7109375" style="53" customWidth="1"/>
    <col min="5378" max="5378" width="16.7109375" style="53" customWidth="1"/>
    <col min="5379" max="5379" width="53" style="53" customWidth="1"/>
    <col min="5380" max="5380" width="12.7109375" style="53" customWidth="1"/>
    <col min="5381" max="5382" width="10.7109375" style="53" customWidth="1"/>
    <col min="5383" max="5389" width="12.7109375" style="53" customWidth="1"/>
    <col min="5390" max="5632" width="8.85546875" style="53"/>
    <col min="5633" max="5633" width="5.7109375" style="53" customWidth="1"/>
    <col min="5634" max="5634" width="16.7109375" style="53" customWidth="1"/>
    <col min="5635" max="5635" width="53" style="53" customWidth="1"/>
    <col min="5636" max="5636" width="12.7109375" style="53" customWidth="1"/>
    <col min="5637" max="5638" width="10.7109375" style="53" customWidth="1"/>
    <col min="5639" max="5645" width="12.7109375" style="53" customWidth="1"/>
    <col min="5646" max="5888" width="8.85546875" style="53"/>
    <col min="5889" max="5889" width="5.7109375" style="53" customWidth="1"/>
    <col min="5890" max="5890" width="16.7109375" style="53" customWidth="1"/>
    <col min="5891" max="5891" width="53" style="53" customWidth="1"/>
    <col min="5892" max="5892" width="12.7109375" style="53" customWidth="1"/>
    <col min="5893" max="5894" width="10.7109375" style="53" customWidth="1"/>
    <col min="5895" max="5901" width="12.7109375" style="53" customWidth="1"/>
    <col min="5902" max="6144" width="8.85546875" style="53"/>
    <col min="6145" max="6145" width="5.7109375" style="53" customWidth="1"/>
    <col min="6146" max="6146" width="16.7109375" style="53" customWidth="1"/>
    <col min="6147" max="6147" width="53" style="53" customWidth="1"/>
    <col min="6148" max="6148" width="12.7109375" style="53" customWidth="1"/>
    <col min="6149" max="6150" width="10.7109375" style="53" customWidth="1"/>
    <col min="6151" max="6157" width="12.7109375" style="53" customWidth="1"/>
    <col min="6158" max="6400" width="8.85546875" style="53"/>
    <col min="6401" max="6401" width="5.7109375" style="53" customWidth="1"/>
    <col min="6402" max="6402" width="16.7109375" style="53" customWidth="1"/>
    <col min="6403" max="6403" width="53" style="53" customWidth="1"/>
    <col min="6404" max="6404" width="12.7109375" style="53" customWidth="1"/>
    <col min="6405" max="6406" width="10.7109375" style="53" customWidth="1"/>
    <col min="6407" max="6413" width="12.7109375" style="53" customWidth="1"/>
    <col min="6414" max="6656" width="8.85546875" style="53"/>
    <col min="6657" max="6657" width="5.7109375" style="53" customWidth="1"/>
    <col min="6658" max="6658" width="16.7109375" style="53" customWidth="1"/>
    <col min="6659" max="6659" width="53" style="53" customWidth="1"/>
    <col min="6660" max="6660" width="12.7109375" style="53" customWidth="1"/>
    <col min="6661" max="6662" width="10.7109375" style="53" customWidth="1"/>
    <col min="6663" max="6669" width="12.7109375" style="53" customWidth="1"/>
    <col min="6670" max="6912" width="8.85546875" style="53"/>
    <col min="6913" max="6913" width="5.7109375" style="53" customWidth="1"/>
    <col min="6914" max="6914" width="16.7109375" style="53" customWidth="1"/>
    <col min="6915" max="6915" width="53" style="53" customWidth="1"/>
    <col min="6916" max="6916" width="12.7109375" style="53" customWidth="1"/>
    <col min="6917" max="6918" width="10.7109375" style="53" customWidth="1"/>
    <col min="6919" max="6925" width="12.7109375" style="53" customWidth="1"/>
    <col min="6926" max="7168" width="8.85546875" style="53"/>
    <col min="7169" max="7169" width="5.7109375" style="53" customWidth="1"/>
    <col min="7170" max="7170" width="16.7109375" style="53" customWidth="1"/>
    <col min="7171" max="7171" width="53" style="53" customWidth="1"/>
    <col min="7172" max="7172" width="12.7109375" style="53" customWidth="1"/>
    <col min="7173" max="7174" width="10.7109375" style="53" customWidth="1"/>
    <col min="7175" max="7181" width="12.7109375" style="53" customWidth="1"/>
    <col min="7182" max="7424" width="8.85546875" style="53"/>
    <col min="7425" max="7425" width="5.7109375" style="53" customWidth="1"/>
    <col min="7426" max="7426" width="16.7109375" style="53" customWidth="1"/>
    <col min="7427" max="7427" width="53" style="53" customWidth="1"/>
    <col min="7428" max="7428" width="12.7109375" style="53" customWidth="1"/>
    <col min="7429" max="7430" width="10.7109375" style="53" customWidth="1"/>
    <col min="7431" max="7437" width="12.7109375" style="53" customWidth="1"/>
    <col min="7438" max="7680" width="8.85546875" style="53"/>
    <col min="7681" max="7681" width="5.7109375" style="53" customWidth="1"/>
    <col min="7682" max="7682" width="16.7109375" style="53" customWidth="1"/>
    <col min="7683" max="7683" width="53" style="53" customWidth="1"/>
    <col min="7684" max="7684" width="12.7109375" style="53" customWidth="1"/>
    <col min="7685" max="7686" width="10.7109375" style="53" customWidth="1"/>
    <col min="7687" max="7693" width="12.7109375" style="53" customWidth="1"/>
    <col min="7694" max="7936" width="8.85546875" style="53"/>
    <col min="7937" max="7937" width="5.7109375" style="53" customWidth="1"/>
    <col min="7938" max="7938" width="16.7109375" style="53" customWidth="1"/>
    <col min="7939" max="7939" width="53" style="53" customWidth="1"/>
    <col min="7940" max="7940" width="12.7109375" style="53" customWidth="1"/>
    <col min="7941" max="7942" width="10.7109375" style="53" customWidth="1"/>
    <col min="7943" max="7949" width="12.7109375" style="53" customWidth="1"/>
    <col min="7950" max="8192" width="8.85546875" style="53"/>
    <col min="8193" max="8193" width="5.7109375" style="53" customWidth="1"/>
    <col min="8194" max="8194" width="16.7109375" style="53" customWidth="1"/>
    <col min="8195" max="8195" width="53" style="53" customWidth="1"/>
    <col min="8196" max="8196" width="12.7109375" style="53" customWidth="1"/>
    <col min="8197" max="8198" width="10.7109375" style="53" customWidth="1"/>
    <col min="8199" max="8205" width="12.7109375" style="53" customWidth="1"/>
    <col min="8206" max="8448" width="8.85546875" style="53"/>
    <col min="8449" max="8449" width="5.7109375" style="53" customWidth="1"/>
    <col min="8450" max="8450" width="16.7109375" style="53" customWidth="1"/>
    <col min="8451" max="8451" width="53" style="53" customWidth="1"/>
    <col min="8452" max="8452" width="12.7109375" style="53" customWidth="1"/>
    <col min="8453" max="8454" width="10.7109375" style="53" customWidth="1"/>
    <col min="8455" max="8461" width="12.7109375" style="53" customWidth="1"/>
    <col min="8462" max="8704" width="8.85546875" style="53"/>
    <col min="8705" max="8705" width="5.7109375" style="53" customWidth="1"/>
    <col min="8706" max="8706" width="16.7109375" style="53" customWidth="1"/>
    <col min="8707" max="8707" width="53" style="53" customWidth="1"/>
    <col min="8708" max="8708" width="12.7109375" style="53" customWidth="1"/>
    <col min="8709" max="8710" width="10.7109375" style="53" customWidth="1"/>
    <col min="8711" max="8717" width="12.7109375" style="53" customWidth="1"/>
    <col min="8718" max="8960" width="8.85546875" style="53"/>
    <col min="8961" max="8961" width="5.7109375" style="53" customWidth="1"/>
    <col min="8962" max="8962" width="16.7109375" style="53" customWidth="1"/>
    <col min="8963" max="8963" width="53" style="53" customWidth="1"/>
    <col min="8964" max="8964" width="12.7109375" style="53" customWidth="1"/>
    <col min="8965" max="8966" width="10.7109375" style="53" customWidth="1"/>
    <col min="8967" max="8973" width="12.7109375" style="53" customWidth="1"/>
    <col min="8974" max="9216" width="8.85546875" style="53"/>
    <col min="9217" max="9217" width="5.7109375" style="53" customWidth="1"/>
    <col min="9218" max="9218" width="16.7109375" style="53" customWidth="1"/>
    <col min="9219" max="9219" width="53" style="53" customWidth="1"/>
    <col min="9220" max="9220" width="12.7109375" style="53" customWidth="1"/>
    <col min="9221" max="9222" width="10.7109375" style="53" customWidth="1"/>
    <col min="9223" max="9229" width="12.7109375" style="53" customWidth="1"/>
    <col min="9230" max="9472" width="8.85546875" style="53"/>
    <col min="9473" max="9473" width="5.7109375" style="53" customWidth="1"/>
    <col min="9474" max="9474" width="16.7109375" style="53" customWidth="1"/>
    <col min="9475" max="9475" width="53" style="53" customWidth="1"/>
    <col min="9476" max="9476" width="12.7109375" style="53" customWidth="1"/>
    <col min="9477" max="9478" width="10.7109375" style="53" customWidth="1"/>
    <col min="9479" max="9485" width="12.7109375" style="53" customWidth="1"/>
    <col min="9486" max="9728" width="8.85546875" style="53"/>
    <col min="9729" max="9729" width="5.7109375" style="53" customWidth="1"/>
    <col min="9730" max="9730" width="16.7109375" style="53" customWidth="1"/>
    <col min="9731" max="9731" width="53" style="53" customWidth="1"/>
    <col min="9732" max="9732" width="12.7109375" style="53" customWidth="1"/>
    <col min="9733" max="9734" width="10.7109375" style="53" customWidth="1"/>
    <col min="9735" max="9741" width="12.7109375" style="53" customWidth="1"/>
    <col min="9742" max="9984" width="8.85546875" style="53"/>
    <col min="9985" max="9985" width="5.7109375" style="53" customWidth="1"/>
    <col min="9986" max="9986" width="16.7109375" style="53" customWidth="1"/>
    <col min="9987" max="9987" width="53" style="53" customWidth="1"/>
    <col min="9988" max="9988" width="12.7109375" style="53" customWidth="1"/>
    <col min="9989" max="9990" width="10.7109375" style="53" customWidth="1"/>
    <col min="9991" max="9997" width="12.7109375" style="53" customWidth="1"/>
    <col min="9998" max="10240" width="8.85546875" style="53"/>
    <col min="10241" max="10241" width="5.7109375" style="53" customWidth="1"/>
    <col min="10242" max="10242" width="16.7109375" style="53" customWidth="1"/>
    <col min="10243" max="10243" width="53" style="53" customWidth="1"/>
    <col min="10244" max="10244" width="12.7109375" style="53" customWidth="1"/>
    <col min="10245" max="10246" width="10.7109375" style="53" customWidth="1"/>
    <col min="10247" max="10253" width="12.7109375" style="53" customWidth="1"/>
    <col min="10254" max="10496" width="8.85546875" style="53"/>
    <col min="10497" max="10497" width="5.7109375" style="53" customWidth="1"/>
    <col min="10498" max="10498" width="16.7109375" style="53" customWidth="1"/>
    <col min="10499" max="10499" width="53" style="53" customWidth="1"/>
    <col min="10500" max="10500" width="12.7109375" style="53" customWidth="1"/>
    <col min="10501" max="10502" width="10.7109375" style="53" customWidth="1"/>
    <col min="10503" max="10509" width="12.7109375" style="53" customWidth="1"/>
    <col min="10510" max="10752" width="8.85546875" style="53"/>
    <col min="10753" max="10753" width="5.7109375" style="53" customWidth="1"/>
    <col min="10754" max="10754" width="16.7109375" style="53" customWidth="1"/>
    <col min="10755" max="10755" width="53" style="53" customWidth="1"/>
    <col min="10756" max="10756" width="12.7109375" style="53" customWidth="1"/>
    <col min="10757" max="10758" width="10.7109375" style="53" customWidth="1"/>
    <col min="10759" max="10765" width="12.7109375" style="53" customWidth="1"/>
    <col min="10766" max="11008" width="8.85546875" style="53"/>
    <col min="11009" max="11009" width="5.7109375" style="53" customWidth="1"/>
    <col min="11010" max="11010" width="16.7109375" style="53" customWidth="1"/>
    <col min="11011" max="11011" width="53" style="53" customWidth="1"/>
    <col min="11012" max="11012" width="12.7109375" style="53" customWidth="1"/>
    <col min="11013" max="11014" width="10.7109375" style="53" customWidth="1"/>
    <col min="11015" max="11021" width="12.7109375" style="53" customWidth="1"/>
    <col min="11022" max="11264" width="8.85546875" style="53"/>
    <col min="11265" max="11265" width="5.7109375" style="53" customWidth="1"/>
    <col min="11266" max="11266" width="16.7109375" style="53" customWidth="1"/>
    <col min="11267" max="11267" width="53" style="53" customWidth="1"/>
    <col min="11268" max="11268" width="12.7109375" style="53" customWidth="1"/>
    <col min="11269" max="11270" width="10.7109375" style="53" customWidth="1"/>
    <col min="11271" max="11277" width="12.7109375" style="53" customWidth="1"/>
    <col min="11278" max="11520" width="8.85546875" style="53"/>
    <col min="11521" max="11521" width="5.7109375" style="53" customWidth="1"/>
    <col min="11522" max="11522" width="16.7109375" style="53" customWidth="1"/>
    <col min="11523" max="11523" width="53" style="53" customWidth="1"/>
    <col min="11524" max="11524" width="12.7109375" style="53" customWidth="1"/>
    <col min="11525" max="11526" width="10.7109375" style="53" customWidth="1"/>
    <col min="11527" max="11533" width="12.7109375" style="53" customWidth="1"/>
    <col min="11534" max="11776" width="8.85546875" style="53"/>
    <col min="11777" max="11777" width="5.7109375" style="53" customWidth="1"/>
    <col min="11778" max="11778" width="16.7109375" style="53" customWidth="1"/>
    <col min="11779" max="11779" width="53" style="53" customWidth="1"/>
    <col min="11780" max="11780" width="12.7109375" style="53" customWidth="1"/>
    <col min="11781" max="11782" width="10.7109375" style="53" customWidth="1"/>
    <col min="11783" max="11789" width="12.7109375" style="53" customWidth="1"/>
    <col min="11790" max="12032" width="8.85546875" style="53"/>
    <col min="12033" max="12033" width="5.7109375" style="53" customWidth="1"/>
    <col min="12034" max="12034" width="16.7109375" style="53" customWidth="1"/>
    <col min="12035" max="12035" width="53" style="53" customWidth="1"/>
    <col min="12036" max="12036" width="12.7109375" style="53" customWidth="1"/>
    <col min="12037" max="12038" width="10.7109375" style="53" customWidth="1"/>
    <col min="12039" max="12045" width="12.7109375" style="53" customWidth="1"/>
    <col min="12046" max="12288" width="8.85546875" style="53"/>
    <col min="12289" max="12289" width="5.7109375" style="53" customWidth="1"/>
    <col min="12290" max="12290" width="16.7109375" style="53" customWidth="1"/>
    <col min="12291" max="12291" width="53" style="53" customWidth="1"/>
    <col min="12292" max="12292" width="12.7109375" style="53" customWidth="1"/>
    <col min="12293" max="12294" width="10.7109375" style="53" customWidth="1"/>
    <col min="12295" max="12301" width="12.7109375" style="53" customWidth="1"/>
    <col min="12302" max="12544" width="8.85546875" style="53"/>
    <col min="12545" max="12545" width="5.7109375" style="53" customWidth="1"/>
    <col min="12546" max="12546" width="16.7109375" style="53" customWidth="1"/>
    <col min="12547" max="12547" width="53" style="53" customWidth="1"/>
    <col min="12548" max="12548" width="12.7109375" style="53" customWidth="1"/>
    <col min="12549" max="12550" width="10.7109375" style="53" customWidth="1"/>
    <col min="12551" max="12557" width="12.7109375" style="53" customWidth="1"/>
    <col min="12558" max="12800" width="8.85546875" style="53"/>
    <col min="12801" max="12801" width="5.7109375" style="53" customWidth="1"/>
    <col min="12802" max="12802" width="16.7109375" style="53" customWidth="1"/>
    <col min="12803" max="12803" width="53" style="53" customWidth="1"/>
    <col min="12804" max="12804" width="12.7109375" style="53" customWidth="1"/>
    <col min="12805" max="12806" width="10.7109375" style="53" customWidth="1"/>
    <col min="12807" max="12813" width="12.7109375" style="53" customWidth="1"/>
    <col min="12814" max="13056" width="8.85546875" style="53"/>
    <col min="13057" max="13057" width="5.7109375" style="53" customWidth="1"/>
    <col min="13058" max="13058" width="16.7109375" style="53" customWidth="1"/>
    <col min="13059" max="13059" width="53" style="53" customWidth="1"/>
    <col min="13060" max="13060" width="12.7109375" style="53" customWidth="1"/>
    <col min="13061" max="13062" width="10.7109375" style="53" customWidth="1"/>
    <col min="13063" max="13069" width="12.7109375" style="53" customWidth="1"/>
    <col min="13070" max="13312" width="8.85546875" style="53"/>
    <col min="13313" max="13313" width="5.7109375" style="53" customWidth="1"/>
    <col min="13314" max="13314" width="16.7109375" style="53" customWidth="1"/>
    <col min="13315" max="13315" width="53" style="53" customWidth="1"/>
    <col min="13316" max="13316" width="12.7109375" style="53" customWidth="1"/>
    <col min="13317" max="13318" width="10.7109375" style="53" customWidth="1"/>
    <col min="13319" max="13325" width="12.7109375" style="53" customWidth="1"/>
    <col min="13326" max="13568" width="8.85546875" style="53"/>
    <col min="13569" max="13569" width="5.7109375" style="53" customWidth="1"/>
    <col min="13570" max="13570" width="16.7109375" style="53" customWidth="1"/>
    <col min="13571" max="13571" width="53" style="53" customWidth="1"/>
    <col min="13572" max="13572" width="12.7109375" style="53" customWidth="1"/>
    <col min="13573" max="13574" width="10.7109375" style="53" customWidth="1"/>
    <col min="13575" max="13581" width="12.7109375" style="53" customWidth="1"/>
    <col min="13582" max="13824" width="8.85546875" style="53"/>
    <col min="13825" max="13825" width="5.7109375" style="53" customWidth="1"/>
    <col min="13826" max="13826" width="16.7109375" style="53" customWidth="1"/>
    <col min="13827" max="13827" width="53" style="53" customWidth="1"/>
    <col min="13828" max="13828" width="12.7109375" style="53" customWidth="1"/>
    <col min="13829" max="13830" width="10.7109375" style="53" customWidth="1"/>
    <col min="13831" max="13837" width="12.7109375" style="53" customWidth="1"/>
    <col min="13838" max="14080" width="8.85546875" style="53"/>
    <col min="14081" max="14081" width="5.7109375" style="53" customWidth="1"/>
    <col min="14082" max="14082" width="16.7109375" style="53" customWidth="1"/>
    <col min="14083" max="14083" width="53" style="53" customWidth="1"/>
    <col min="14084" max="14084" width="12.7109375" style="53" customWidth="1"/>
    <col min="14085" max="14086" width="10.7109375" style="53" customWidth="1"/>
    <col min="14087" max="14093" width="12.7109375" style="53" customWidth="1"/>
    <col min="14094" max="14336" width="8.85546875" style="53"/>
    <col min="14337" max="14337" width="5.7109375" style="53" customWidth="1"/>
    <col min="14338" max="14338" width="16.7109375" style="53" customWidth="1"/>
    <col min="14339" max="14339" width="53" style="53" customWidth="1"/>
    <col min="14340" max="14340" width="12.7109375" style="53" customWidth="1"/>
    <col min="14341" max="14342" width="10.7109375" style="53" customWidth="1"/>
    <col min="14343" max="14349" width="12.7109375" style="53" customWidth="1"/>
    <col min="14350" max="14592" width="8.85546875" style="53"/>
    <col min="14593" max="14593" width="5.7109375" style="53" customWidth="1"/>
    <col min="14594" max="14594" width="16.7109375" style="53" customWidth="1"/>
    <col min="14595" max="14595" width="53" style="53" customWidth="1"/>
    <col min="14596" max="14596" width="12.7109375" style="53" customWidth="1"/>
    <col min="14597" max="14598" width="10.7109375" style="53" customWidth="1"/>
    <col min="14599" max="14605" width="12.7109375" style="53" customWidth="1"/>
    <col min="14606" max="14848" width="8.85546875" style="53"/>
    <col min="14849" max="14849" width="5.7109375" style="53" customWidth="1"/>
    <col min="14850" max="14850" width="16.7109375" style="53" customWidth="1"/>
    <col min="14851" max="14851" width="53" style="53" customWidth="1"/>
    <col min="14852" max="14852" width="12.7109375" style="53" customWidth="1"/>
    <col min="14853" max="14854" width="10.7109375" style="53" customWidth="1"/>
    <col min="14855" max="14861" width="12.7109375" style="53" customWidth="1"/>
    <col min="14862" max="15104" width="8.85546875" style="53"/>
    <col min="15105" max="15105" width="5.7109375" style="53" customWidth="1"/>
    <col min="15106" max="15106" width="16.7109375" style="53" customWidth="1"/>
    <col min="15107" max="15107" width="53" style="53" customWidth="1"/>
    <col min="15108" max="15108" width="12.7109375" style="53" customWidth="1"/>
    <col min="15109" max="15110" width="10.7109375" style="53" customWidth="1"/>
    <col min="15111" max="15117" width="12.7109375" style="53" customWidth="1"/>
    <col min="15118" max="15360" width="8.85546875" style="53"/>
    <col min="15361" max="15361" width="5.7109375" style="53" customWidth="1"/>
    <col min="15362" max="15362" width="16.7109375" style="53" customWidth="1"/>
    <col min="15363" max="15363" width="53" style="53" customWidth="1"/>
    <col min="15364" max="15364" width="12.7109375" style="53" customWidth="1"/>
    <col min="15365" max="15366" width="10.7109375" style="53" customWidth="1"/>
    <col min="15367" max="15373" width="12.7109375" style="53" customWidth="1"/>
    <col min="15374" max="15616" width="8.85546875" style="53"/>
    <col min="15617" max="15617" width="5.7109375" style="53" customWidth="1"/>
    <col min="15618" max="15618" width="16.7109375" style="53" customWidth="1"/>
    <col min="15619" max="15619" width="53" style="53" customWidth="1"/>
    <col min="15620" max="15620" width="12.7109375" style="53" customWidth="1"/>
    <col min="15621" max="15622" width="10.7109375" style="53" customWidth="1"/>
    <col min="15623" max="15629" width="12.7109375" style="53" customWidth="1"/>
    <col min="15630" max="15872" width="8.85546875" style="53"/>
    <col min="15873" max="15873" width="5.7109375" style="53" customWidth="1"/>
    <col min="15874" max="15874" width="16.7109375" style="53" customWidth="1"/>
    <col min="15875" max="15875" width="53" style="53" customWidth="1"/>
    <col min="15876" max="15876" width="12.7109375" style="53" customWidth="1"/>
    <col min="15877" max="15878" width="10.7109375" style="53" customWidth="1"/>
    <col min="15879" max="15885" width="12.7109375" style="53" customWidth="1"/>
    <col min="15886" max="16128" width="8.85546875" style="53"/>
    <col min="16129" max="16129" width="5.7109375" style="53" customWidth="1"/>
    <col min="16130" max="16130" width="16.7109375" style="53" customWidth="1"/>
    <col min="16131" max="16131" width="53" style="53" customWidth="1"/>
    <col min="16132" max="16132" width="12.7109375" style="53" customWidth="1"/>
    <col min="16133" max="16134" width="10.7109375" style="53" customWidth="1"/>
    <col min="16135" max="16141" width="12.7109375" style="53" customWidth="1"/>
    <col min="16142" max="16384" width="8.85546875" style="53"/>
  </cols>
  <sheetData>
    <row r="1" spans="1:13" s="43" customFormat="1">
      <c r="M1" s="44" t="s">
        <v>92</v>
      </c>
    </row>
    <row r="2" spans="1:13" s="43" customFormat="1">
      <c r="A2" s="45"/>
      <c r="B2" s="45"/>
      <c r="C2" s="46"/>
      <c r="D2" s="46"/>
      <c r="E2" s="46"/>
      <c r="F2" s="45"/>
      <c r="G2" s="45"/>
      <c r="H2" s="46"/>
      <c r="I2" s="46"/>
      <c r="J2" s="46"/>
      <c r="K2" s="46"/>
      <c r="L2" s="46"/>
      <c r="M2" s="46"/>
    </row>
    <row r="3" spans="1:13" s="43" customFormat="1" ht="25.5" customHeight="1">
      <c r="A3" s="47" t="s">
        <v>93</v>
      </c>
      <c r="B3" s="47"/>
      <c r="C3" s="272" t="s">
        <v>94</v>
      </c>
      <c r="D3" s="272"/>
      <c r="E3" s="272"/>
      <c r="F3" s="272"/>
      <c r="G3" s="272"/>
      <c r="H3" s="272"/>
      <c r="I3" s="272"/>
      <c r="J3" s="272"/>
      <c r="K3" s="272"/>
      <c r="L3" s="272"/>
      <c r="M3" s="272"/>
    </row>
    <row r="4" spans="1:13" s="43" customFormat="1">
      <c r="A4" s="48" t="s">
        <v>95</v>
      </c>
      <c r="B4" s="48"/>
      <c r="C4" s="290" t="s">
        <v>96</v>
      </c>
      <c r="D4" s="290"/>
      <c r="E4" s="290"/>
      <c r="F4" s="290"/>
      <c r="G4" s="290"/>
      <c r="H4" s="290"/>
      <c r="I4" s="290"/>
      <c r="J4" s="290"/>
      <c r="K4" s="290"/>
      <c r="L4" s="290"/>
      <c r="M4" s="290"/>
    </row>
    <row r="5" spans="1:13" s="43" customFormat="1">
      <c r="A5" s="47" t="s">
        <v>97</v>
      </c>
      <c r="B5" s="47"/>
      <c r="C5" s="272" t="s">
        <v>98</v>
      </c>
      <c r="D5" s="272"/>
      <c r="E5" s="272"/>
      <c r="F5" s="272"/>
      <c r="G5" s="272"/>
      <c r="H5" s="272"/>
      <c r="I5" s="272"/>
      <c r="J5" s="272"/>
      <c r="K5" s="272"/>
      <c r="L5" s="272"/>
      <c r="M5" s="272"/>
    </row>
    <row r="6" spans="1:13" s="43" customFormat="1">
      <c r="A6" s="48" t="s">
        <v>99</v>
      </c>
      <c r="B6" s="48"/>
      <c r="C6" s="290" t="s">
        <v>100</v>
      </c>
      <c r="D6" s="290"/>
      <c r="E6" s="290"/>
      <c r="F6" s="290"/>
      <c r="G6" s="290"/>
      <c r="H6" s="290"/>
      <c r="I6" s="290"/>
      <c r="J6" s="290"/>
      <c r="K6" s="290"/>
      <c r="L6" s="290"/>
      <c r="M6" s="290"/>
    </row>
    <row r="7" spans="1:13" s="43" customFormat="1" ht="10.5" customHeight="1">
      <c r="C7" s="49"/>
      <c r="D7" s="49"/>
      <c r="E7" s="49"/>
    </row>
    <row r="8" spans="1:13" s="43" customFormat="1" ht="18.75">
      <c r="C8" s="291" t="s">
        <v>101</v>
      </c>
      <c r="D8" s="291"/>
      <c r="E8" s="291"/>
      <c r="F8" s="291"/>
      <c r="G8" s="291"/>
      <c r="H8" s="292" t="s">
        <v>2</v>
      </c>
      <c r="I8" s="292"/>
      <c r="J8" s="292"/>
      <c r="K8" s="292"/>
      <c r="L8" s="292"/>
      <c r="M8" s="292"/>
    </row>
    <row r="9" spans="1:13" s="43" customFormat="1" ht="19.5" customHeight="1">
      <c r="C9" s="269" t="s">
        <v>102</v>
      </c>
      <c r="D9" s="269"/>
      <c r="E9" s="269"/>
      <c r="F9" s="269"/>
      <c r="G9" s="269"/>
      <c r="H9" s="269"/>
      <c r="I9" s="269"/>
      <c r="J9" s="269"/>
      <c r="K9" s="269"/>
      <c r="L9" s="50"/>
    </row>
    <row r="10" spans="1:13" s="43" customFormat="1" ht="12" customHeight="1">
      <c r="C10" s="49"/>
      <c r="D10" s="49"/>
      <c r="E10" s="49"/>
    </row>
    <row r="11" spans="1:13" s="43" customFormat="1" ht="15">
      <c r="B11" s="51" t="s">
        <v>103</v>
      </c>
      <c r="C11" s="270" t="s">
        <v>104</v>
      </c>
      <c r="D11" s="270"/>
      <c r="E11" s="270"/>
      <c r="F11" s="270"/>
      <c r="G11" s="270"/>
      <c r="H11" s="270"/>
      <c r="I11" s="270"/>
      <c r="J11" s="270"/>
      <c r="K11" s="270"/>
      <c r="L11" s="270"/>
      <c r="M11" s="270"/>
    </row>
    <row r="12" spans="1:13" s="43" customFormat="1" ht="15">
      <c r="B12" s="51"/>
      <c r="C12" s="271" t="s">
        <v>105</v>
      </c>
      <c r="D12" s="271"/>
      <c r="E12" s="271"/>
      <c r="F12" s="271"/>
      <c r="G12" s="271"/>
      <c r="H12" s="271"/>
      <c r="I12" s="271"/>
      <c r="J12" s="271"/>
      <c r="K12" s="271"/>
      <c r="L12" s="271"/>
    </row>
    <row r="13" spans="1:13" s="43" customFormat="1"/>
    <row r="14" spans="1:13" s="43" customFormat="1">
      <c r="A14" s="47" t="s">
        <v>106</v>
      </c>
      <c r="B14" s="47"/>
      <c r="C14" s="272" t="s">
        <v>107</v>
      </c>
      <c r="D14" s="272"/>
      <c r="E14" s="272"/>
      <c r="F14" s="272"/>
      <c r="G14" s="272"/>
      <c r="H14" s="272"/>
      <c r="I14" s="272"/>
      <c r="J14" s="272"/>
      <c r="K14" s="272"/>
      <c r="L14" s="272"/>
      <c r="M14" s="272"/>
    </row>
    <row r="15" spans="1:13">
      <c r="A15" s="52"/>
      <c r="B15" s="52"/>
      <c r="C15" s="52"/>
      <c r="F15" s="54" t="s">
        <v>11</v>
      </c>
      <c r="G15" s="54"/>
      <c r="H15" s="54"/>
      <c r="I15" s="54"/>
      <c r="J15" s="54"/>
      <c r="K15" s="55"/>
      <c r="L15" s="56" t="s">
        <v>108</v>
      </c>
      <c r="M15" s="56" t="s">
        <v>109</v>
      </c>
    </row>
    <row r="16" spans="1:13">
      <c r="A16" s="52"/>
      <c r="B16" s="52"/>
      <c r="C16" s="52"/>
      <c r="F16" s="54" t="s">
        <v>110</v>
      </c>
      <c r="G16" s="54"/>
      <c r="H16" s="54"/>
      <c r="I16" s="54"/>
      <c r="J16" s="54"/>
      <c r="K16" s="55"/>
      <c r="L16" s="56" t="s">
        <v>111</v>
      </c>
      <c r="M16" s="56" t="s">
        <v>109</v>
      </c>
    </row>
    <row r="17" spans="1:13">
      <c r="A17" s="52"/>
      <c r="B17" s="52"/>
      <c r="C17" s="52"/>
      <c r="F17" s="54" t="s">
        <v>112</v>
      </c>
      <c r="G17" s="54"/>
      <c r="H17" s="54"/>
      <c r="I17" s="54"/>
      <c r="J17" s="54"/>
      <c r="K17" s="55"/>
      <c r="L17" s="56" t="s">
        <v>113</v>
      </c>
      <c r="M17" s="56" t="s">
        <v>114</v>
      </c>
    </row>
    <row r="18" spans="1:13" s="43" customFormat="1" ht="16.5" customHeight="1">
      <c r="A18" s="273" t="s">
        <v>115</v>
      </c>
      <c r="B18" s="273"/>
      <c r="C18" s="273"/>
      <c r="D18" s="273"/>
      <c r="E18" s="273"/>
      <c r="F18" s="273"/>
      <c r="G18" s="273"/>
      <c r="H18" s="273"/>
      <c r="I18" s="273"/>
      <c r="J18" s="273"/>
      <c r="K18" s="273"/>
      <c r="L18" s="44"/>
    </row>
    <row r="19" spans="1:13" s="57" customFormat="1" ht="24" customHeight="1">
      <c r="A19" s="274" t="s">
        <v>116</v>
      </c>
      <c r="B19" s="274" t="s">
        <v>117</v>
      </c>
      <c r="C19" s="274" t="s">
        <v>118</v>
      </c>
      <c r="D19" s="274" t="s">
        <v>119</v>
      </c>
      <c r="E19" s="277" t="s">
        <v>120</v>
      </c>
      <c r="F19" s="278"/>
      <c r="G19" s="281" t="s">
        <v>121</v>
      </c>
      <c r="H19" s="282"/>
      <c r="I19" s="281" t="s">
        <v>122</v>
      </c>
      <c r="J19" s="283"/>
      <c r="K19" s="284"/>
      <c r="L19" s="274" t="s">
        <v>123</v>
      </c>
      <c r="M19" s="285" t="s">
        <v>124</v>
      </c>
    </row>
    <row r="20" spans="1:13" s="57" customFormat="1" ht="24" customHeight="1">
      <c r="A20" s="275"/>
      <c r="B20" s="275"/>
      <c r="C20" s="275"/>
      <c r="D20" s="275"/>
      <c r="E20" s="279"/>
      <c r="F20" s="280"/>
      <c r="G20" s="58" t="s">
        <v>20</v>
      </c>
      <c r="H20" s="58" t="s">
        <v>125</v>
      </c>
      <c r="I20" s="58" t="s">
        <v>20</v>
      </c>
      <c r="J20" s="58" t="s">
        <v>125</v>
      </c>
      <c r="K20" s="58" t="s">
        <v>126</v>
      </c>
      <c r="L20" s="276"/>
      <c r="M20" s="286"/>
    </row>
    <row r="21" spans="1:13" s="57" customFormat="1" ht="39.950000000000003" customHeight="1">
      <c r="A21" s="276"/>
      <c r="B21" s="276"/>
      <c r="C21" s="276"/>
      <c r="D21" s="276"/>
      <c r="E21" s="59" t="s">
        <v>127</v>
      </c>
      <c r="F21" s="58" t="s">
        <v>128</v>
      </c>
      <c r="G21" s="58" t="s">
        <v>129</v>
      </c>
      <c r="H21" s="58" t="s">
        <v>130</v>
      </c>
      <c r="I21" s="58" t="s">
        <v>129</v>
      </c>
      <c r="J21" s="58" t="s">
        <v>130</v>
      </c>
      <c r="K21" s="58" t="s">
        <v>131</v>
      </c>
      <c r="L21" s="58" t="s">
        <v>132</v>
      </c>
      <c r="M21" s="287"/>
    </row>
    <row r="22" spans="1:13">
      <c r="A22" s="60">
        <v>1</v>
      </c>
      <c r="B22" s="61">
        <v>2</v>
      </c>
      <c r="C22" s="61">
        <v>3</v>
      </c>
      <c r="D22" s="61">
        <v>4</v>
      </c>
      <c r="E22" s="288">
        <v>5</v>
      </c>
      <c r="F22" s="289"/>
      <c r="G22" s="61">
        <v>6</v>
      </c>
      <c r="H22" s="61">
        <v>7</v>
      </c>
      <c r="I22" s="61">
        <v>8</v>
      </c>
      <c r="J22" s="61">
        <v>9</v>
      </c>
      <c r="K22" s="61">
        <v>10</v>
      </c>
      <c r="L22" s="61">
        <v>11</v>
      </c>
      <c r="M22" s="61">
        <v>12</v>
      </c>
    </row>
    <row r="23" spans="1:13">
      <c r="A23" s="266"/>
      <c r="B23" s="267"/>
      <c r="C23" s="267"/>
      <c r="D23" s="267"/>
      <c r="E23" s="267"/>
      <c r="F23" s="267"/>
      <c r="G23" s="267"/>
      <c r="H23" s="267"/>
      <c r="I23" s="267"/>
      <c r="J23" s="267"/>
      <c r="K23" s="267"/>
      <c r="L23" s="267"/>
      <c r="M23" s="268"/>
    </row>
    <row r="24" spans="1:13" s="43" customFormat="1" ht="156.19999999999999" customHeight="1">
      <c r="A24" s="62"/>
      <c r="B24" s="63"/>
      <c r="C24" s="63"/>
      <c r="D24" s="63"/>
      <c r="E24" s="63"/>
      <c r="F24" s="264" t="s">
        <v>133</v>
      </c>
      <c r="G24" s="264"/>
      <c r="H24" s="264"/>
      <c r="I24" s="264"/>
      <c r="J24" s="264"/>
      <c r="K24" s="264"/>
      <c r="L24" s="63"/>
      <c r="M24" s="64"/>
    </row>
    <row r="25" spans="1:13" s="43" customFormat="1" ht="12.75" customHeight="1">
      <c r="A25" s="62"/>
      <c r="B25" s="63"/>
      <c r="C25" s="264" t="s">
        <v>134</v>
      </c>
      <c r="D25" s="264"/>
      <c r="E25" s="63"/>
      <c r="F25" s="63"/>
      <c r="G25" s="63"/>
      <c r="H25" s="63"/>
      <c r="I25" s="63"/>
      <c r="J25" s="63"/>
      <c r="K25" s="63"/>
      <c r="L25" s="63"/>
      <c r="M25" s="64"/>
    </row>
    <row r="26" spans="1:13" s="74" customFormat="1" ht="48">
      <c r="A26" s="65" t="s">
        <v>21</v>
      </c>
      <c r="B26" s="66" t="s">
        <v>135</v>
      </c>
      <c r="C26" s="67" t="s">
        <v>136</v>
      </c>
      <c r="D26" s="68" t="s">
        <v>137</v>
      </c>
      <c r="E26" s="69"/>
      <c r="F26" s="70">
        <v>1.4039999999999999</v>
      </c>
      <c r="G26" s="71">
        <v>458904</v>
      </c>
      <c r="H26" s="71">
        <v>47489</v>
      </c>
      <c r="I26" s="72">
        <v>644301</v>
      </c>
      <c r="J26" s="72">
        <v>66675</v>
      </c>
      <c r="K26" s="72">
        <v>11116</v>
      </c>
      <c r="L26" s="72" t="s">
        <v>138</v>
      </c>
      <c r="M26" s="73">
        <v>644301</v>
      </c>
    </row>
    <row r="27" spans="1:13" s="74" customFormat="1">
      <c r="A27" s="75"/>
      <c r="B27" s="76"/>
      <c r="C27" s="77"/>
      <c r="D27" s="78"/>
      <c r="E27" s="79"/>
      <c r="F27" s="78"/>
      <c r="G27" s="80">
        <v>403497</v>
      </c>
      <c r="H27" s="80">
        <v>13487</v>
      </c>
      <c r="I27" s="81">
        <v>566510</v>
      </c>
      <c r="J27" s="81">
        <v>18936</v>
      </c>
      <c r="K27" s="81"/>
      <c r="L27" s="81" t="s">
        <v>138</v>
      </c>
      <c r="M27" s="81"/>
    </row>
    <row r="28" spans="1:13" s="43" customFormat="1" ht="21" hidden="1" outlineLevel="1">
      <c r="A28" s="82" t="s">
        <v>139</v>
      </c>
      <c r="B28" s="83" t="s">
        <v>140</v>
      </c>
      <c r="C28" s="84" t="s">
        <v>141</v>
      </c>
      <c r="D28" s="83" t="s">
        <v>142</v>
      </c>
      <c r="E28" s="85">
        <v>74.555999999999997</v>
      </c>
      <c r="F28" s="85">
        <v>104.676624</v>
      </c>
      <c r="G28" s="86">
        <v>5412</v>
      </c>
      <c r="H28" s="87"/>
      <c r="I28" s="88">
        <v>566510</v>
      </c>
      <c r="J28" s="88"/>
      <c r="K28" s="88"/>
      <c r="L28" s="89"/>
      <c r="M28" s="89"/>
    </row>
    <row r="29" spans="1:13" s="43" customFormat="1" hidden="1" outlineLevel="1">
      <c r="A29" s="82" t="s">
        <v>143</v>
      </c>
      <c r="B29" s="83" t="s">
        <v>34</v>
      </c>
      <c r="C29" s="84" t="s">
        <v>144</v>
      </c>
      <c r="D29" s="83" t="s">
        <v>142</v>
      </c>
      <c r="E29" s="85">
        <v>4.08</v>
      </c>
      <c r="F29" s="85">
        <v>5.7282999999999999</v>
      </c>
      <c r="G29" s="89"/>
      <c r="H29" s="87"/>
      <c r="I29" s="88"/>
      <c r="J29" s="88"/>
      <c r="K29" s="88"/>
      <c r="L29" s="89"/>
      <c r="M29" s="89"/>
    </row>
    <row r="30" spans="1:13" s="43" customFormat="1" hidden="1" outlineLevel="1">
      <c r="A30" s="90" t="s">
        <v>145</v>
      </c>
      <c r="B30" s="91" t="s">
        <v>146</v>
      </c>
      <c r="C30" s="92" t="s">
        <v>147</v>
      </c>
      <c r="D30" s="91" t="s">
        <v>148</v>
      </c>
      <c r="E30" s="93">
        <v>17.134799999999998</v>
      </c>
      <c r="F30" s="93">
        <v>24.057258999999998</v>
      </c>
      <c r="G30" s="94"/>
      <c r="H30" s="95">
        <v>230</v>
      </c>
      <c r="I30" s="96"/>
      <c r="J30" s="96">
        <v>5533</v>
      </c>
      <c r="K30" s="96"/>
      <c r="L30" s="97"/>
      <c r="M30" s="97"/>
    </row>
    <row r="31" spans="1:13" s="43" customFormat="1" ht="21" hidden="1" outlineLevel="1">
      <c r="A31" s="90" t="s">
        <v>149</v>
      </c>
      <c r="B31" s="91" t="s">
        <v>150</v>
      </c>
      <c r="C31" s="92" t="s">
        <v>151</v>
      </c>
      <c r="D31" s="91" t="s">
        <v>148</v>
      </c>
      <c r="E31" s="93">
        <v>2.0404800000000001</v>
      </c>
      <c r="F31" s="93">
        <v>2.8648340000000001</v>
      </c>
      <c r="G31" s="94"/>
      <c r="H31" s="95">
        <v>12979</v>
      </c>
      <c r="I31" s="96"/>
      <c r="J31" s="96">
        <v>37183</v>
      </c>
      <c r="K31" s="96"/>
      <c r="L31" s="97"/>
      <c r="M31" s="97"/>
    </row>
    <row r="32" spans="1:13" s="43" customFormat="1" hidden="1" outlineLevel="2">
      <c r="A32" s="98" t="s">
        <v>149</v>
      </c>
      <c r="B32" s="99"/>
      <c r="C32" s="100" t="s">
        <v>152</v>
      </c>
      <c r="D32" s="101" t="s">
        <v>142</v>
      </c>
      <c r="E32" s="102">
        <v>2.0404800000000001</v>
      </c>
      <c r="F32" s="102">
        <v>2.8648340000000001</v>
      </c>
      <c r="G32" s="103"/>
      <c r="H32" s="102">
        <v>3888</v>
      </c>
      <c r="I32" s="104"/>
      <c r="J32" s="104">
        <v>11138.47</v>
      </c>
      <c r="K32" s="96"/>
      <c r="L32" s="97"/>
      <c r="M32" s="97"/>
    </row>
    <row r="33" spans="1:13" s="43" customFormat="1" hidden="1" outlineLevel="1">
      <c r="A33" s="90" t="s">
        <v>153</v>
      </c>
      <c r="B33" s="91" t="s">
        <v>154</v>
      </c>
      <c r="C33" s="92" t="s">
        <v>155</v>
      </c>
      <c r="D33" s="91" t="s">
        <v>148</v>
      </c>
      <c r="E33" s="93">
        <v>2.0404800000000001</v>
      </c>
      <c r="F33" s="93">
        <v>2.8648340000000001</v>
      </c>
      <c r="G33" s="94"/>
      <c r="H33" s="95">
        <v>8363</v>
      </c>
      <c r="I33" s="96"/>
      <c r="J33" s="96">
        <v>23959</v>
      </c>
      <c r="K33" s="96"/>
      <c r="L33" s="97"/>
      <c r="M33" s="97"/>
    </row>
    <row r="34" spans="1:13" s="43" customFormat="1" hidden="1" outlineLevel="2">
      <c r="A34" s="98" t="s">
        <v>153</v>
      </c>
      <c r="B34" s="99"/>
      <c r="C34" s="100" t="s">
        <v>152</v>
      </c>
      <c r="D34" s="101" t="s">
        <v>142</v>
      </c>
      <c r="E34" s="102">
        <v>2.0404800000000001</v>
      </c>
      <c r="F34" s="102">
        <v>2.8648340000000001</v>
      </c>
      <c r="G34" s="103"/>
      <c r="H34" s="102">
        <v>2722</v>
      </c>
      <c r="I34" s="104"/>
      <c r="J34" s="104">
        <v>7798.08</v>
      </c>
      <c r="K34" s="96"/>
      <c r="L34" s="97"/>
      <c r="M34" s="97"/>
    </row>
    <row r="35" spans="1:13" s="43" customFormat="1" hidden="1" outlineLevel="1">
      <c r="A35" s="105" t="s">
        <v>156</v>
      </c>
      <c r="B35" s="106" t="s">
        <v>157</v>
      </c>
      <c r="C35" s="107" t="s">
        <v>158</v>
      </c>
      <c r="D35" s="106" t="s">
        <v>137</v>
      </c>
      <c r="E35" s="108">
        <v>2.5400000000000002E-3</v>
      </c>
      <c r="F35" s="108">
        <v>3.5660000000000002E-3</v>
      </c>
      <c r="G35" s="109">
        <v>1510113</v>
      </c>
      <c r="H35" s="110"/>
      <c r="I35" s="111"/>
      <c r="J35" s="111"/>
      <c r="K35" s="111">
        <v>5385</v>
      </c>
      <c r="L35" s="97"/>
      <c r="M35" s="97"/>
    </row>
    <row r="36" spans="1:13" s="43" customFormat="1" ht="21" hidden="1" outlineLevel="1">
      <c r="A36" s="105" t="s">
        <v>159</v>
      </c>
      <c r="B36" s="106" t="s">
        <v>160</v>
      </c>
      <c r="C36" s="107" t="s">
        <v>161</v>
      </c>
      <c r="D36" s="106" t="s">
        <v>162</v>
      </c>
      <c r="E36" s="108">
        <v>3.36</v>
      </c>
      <c r="F36" s="108">
        <v>4.7174399999999999</v>
      </c>
      <c r="G36" s="109">
        <v>1215</v>
      </c>
      <c r="H36" s="110"/>
      <c r="I36" s="111"/>
      <c r="J36" s="111"/>
      <c r="K36" s="111">
        <v>5732</v>
      </c>
      <c r="L36" s="97"/>
      <c r="M36" s="97"/>
    </row>
    <row r="37" spans="1:13" s="74" customFormat="1" ht="36" collapsed="1">
      <c r="A37" s="65" t="s">
        <v>32</v>
      </c>
      <c r="B37" s="66" t="s">
        <v>163</v>
      </c>
      <c r="C37" s="67" t="s">
        <v>164</v>
      </c>
      <c r="D37" s="68" t="s">
        <v>165</v>
      </c>
      <c r="E37" s="69"/>
      <c r="F37" s="112">
        <v>624</v>
      </c>
      <c r="G37" s="71">
        <v>4532</v>
      </c>
      <c r="H37" s="113" t="s">
        <v>138</v>
      </c>
      <c r="I37" s="72">
        <v>2827968</v>
      </c>
      <c r="J37" s="72" t="s">
        <v>138</v>
      </c>
      <c r="K37" s="72">
        <v>2827968</v>
      </c>
      <c r="L37" s="72" t="s">
        <v>138</v>
      </c>
      <c r="M37" s="73">
        <v>2827968</v>
      </c>
    </row>
    <row r="38" spans="1:13" s="74" customFormat="1">
      <c r="A38" s="75"/>
      <c r="B38" s="76"/>
      <c r="C38" s="77"/>
      <c r="D38" s="78"/>
      <c r="E38" s="79"/>
      <c r="F38" s="78"/>
      <c r="G38" s="114" t="s">
        <v>138</v>
      </c>
      <c r="H38" s="114" t="s">
        <v>138</v>
      </c>
      <c r="I38" s="81" t="s">
        <v>138</v>
      </c>
      <c r="J38" s="81" t="s">
        <v>138</v>
      </c>
      <c r="K38" s="81"/>
      <c r="L38" s="81" t="s">
        <v>138</v>
      </c>
      <c r="M38" s="81"/>
    </row>
    <row r="39" spans="1:13" s="74" customFormat="1" ht="48">
      <c r="A39" s="65" t="s">
        <v>34</v>
      </c>
      <c r="B39" s="66" t="s">
        <v>166</v>
      </c>
      <c r="C39" s="67" t="s">
        <v>167</v>
      </c>
      <c r="D39" s="68" t="s">
        <v>137</v>
      </c>
      <c r="E39" s="69"/>
      <c r="F39" s="70">
        <v>0.99180000000000001</v>
      </c>
      <c r="G39" s="71">
        <v>399523</v>
      </c>
      <c r="H39" s="71">
        <v>46737</v>
      </c>
      <c r="I39" s="72">
        <v>396247</v>
      </c>
      <c r="J39" s="72">
        <v>46353</v>
      </c>
      <c r="K39" s="72">
        <v>5872</v>
      </c>
      <c r="L39" s="72" t="s">
        <v>138</v>
      </c>
      <c r="M39" s="73">
        <v>396247</v>
      </c>
    </row>
    <row r="40" spans="1:13" s="74" customFormat="1">
      <c r="A40" s="75"/>
      <c r="B40" s="76"/>
      <c r="C40" s="77"/>
      <c r="D40" s="78"/>
      <c r="E40" s="79"/>
      <c r="F40" s="78"/>
      <c r="G40" s="80">
        <v>346866</v>
      </c>
      <c r="H40" s="80">
        <v>13487</v>
      </c>
      <c r="I40" s="81">
        <v>344022</v>
      </c>
      <c r="J40" s="81">
        <v>13376</v>
      </c>
      <c r="K40" s="81"/>
      <c r="L40" s="81" t="s">
        <v>138</v>
      </c>
      <c r="M40" s="81"/>
    </row>
    <row r="41" spans="1:13" s="43" customFormat="1" ht="21" hidden="1" outlineLevel="1">
      <c r="A41" s="82" t="s">
        <v>168</v>
      </c>
      <c r="B41" s="83" t="s">
        <v>140</v>
      </c>
      <c r="C41" s="84" t="s">
        <v>141</v>
      </c>
      <c r="D41" s="83" t="s">
        <v>142</v>
      </c>
      <c r="E41" s="85">
        <v>64.091999999999999</v>
      </c>
      <c r="F41" s="85">
        <v>63.566445999999999</v>
      </c>
      <c r="G41" s="86">
        <v>5412</v>
      </c>
      <c r="H41" s="87"/>
      <c r="I41" s="88">
        <v>344022</v>
      </c>
      <c r="J41" s="88"/>
      <c r="K41" s="88"/>
      <c r="L41" s="89"/>
      <c r="M41" s="89"/>
    </row>
    <row r="42" spans="1:13" s="43" customFormat="1" hidden="1" outlineLevel="1">
      <c r="A42" s="82" t="s">
        <v>169</v>
      </c>
      <c r="B42" s="83" t="s">
        <v>34</v>
      </c>
      <c r="C42" s="84" t="s">
        <v>144</v>
      </c>
      <c r="D42" s="83" t="s">
        <v>142</v>
      </c>
      <c r="E42" s="85">
        <v>4.08</v>
      </c>
      <c r="F42" s="85">
        <v>4.0465</v>
      </c>
      <c r="G42" s="89"/>
      <c r="H42" s="87"/>
      <c r="I42" s="88"/>
      <c r="J42" s="88"/>
      <c r="K42" s="88"/>
      <c r="L42" s="89"/>
      <c r="M42" s="89"/>
    </row>
    <row r="43" spans="1:13" s="43" customFormat="1" hidden="1" outlineLevel="1">
      <c r="A43" s="90" t="s">
        <v>170</v>
      </c>
      <c r="B43" s="91" t="s">
        <v>146</v>
      </c>
      <c r="C43" s="92" t="s">
        <v>147</v>
      </c>
      <c r="D43" s="91" t="s">
        <v>148</v>
      </c>
      <c r="E43" s="93">
        <v>13.864800000000001</v>
      </c>
      <c r="F43" s="93">
        <v>13.751109</v>
      </c>
      <c r="G43" s="94"/>
      <c r="H43" s="95">
        <v>230</v>
      </c>
      <c r="I43" s="96"/>
      <c r="J43" s="96">
        <v>3163</v>
      </c>
      <c r="K43" s="96"/>
      <c r="L43" s="97"/>
      <c r="M43" s="97"/>
    </row>
    <row r="44" spans="1:13" s="43" customFormat="1" ht="21" hidden="1" outlineLevel="1">
      <c r="A44" s="90" t="s">
        <v>171</v>
      </c>
      <c r="B44" s="91" t="s">
        <v>150</v>
      </c>
      <c r="C44" s="92" t="s">
        <v>151</v>
      </c>
      <c r="D44" s="91" t="s">
        <v>148</v>
      </c>
      <c r="E44" s="93">
        <v>2.0404800000000001</v>
      </c>
      <c r="F44" s="93">
        <v>2.0237479999999999</v>
      </c>
      <c r="G44" s="94"/>
      <c r="H44" s="95">
        <v>12979</v>
      </c>
      <c r="I44" s="96"/>
      <c r="J44" s="96">
        <v>26266</v>
      </c>
      <c r="K44" s="96"/>
      <c r="L44" s="97"/>
      <c r="M44" s="97"/>
    </row>
    <row r="45" spans="1:13" s="43" customFormat="1" hidden="1" outlineLevel="2">
      <c r="A45" s="98" t="s">
        <v>171</v>
      </c>
      <c r="B45" s="99"/>
      <c r="C45" s="100" t="s">
        <v>152</v>
      </c>
      <c r="D45" s="101" t="s">
        <v>142</v>
      </c>
      <c r="E45" s="102">
        <v>2.0404800000000001</v>
      </c>
      <c r="F45" s="102">
        <v>2.0237479999999999</v>
      </c>
      <c r="G45" s="103"/>
      <c r="H45" s="102">
        <v>3888</v>
      </c>
      <c r="I45" s="104"/>
      <c r="J45" s="104">
        <v>7868.33</v>
      </c>
      <c r="K45" s="96"/>
      <c r="L45" s="97"/>
      <c r="M45" s="97"/>
    </row>
    <row r="46" spans="1:13" s="43" customFormat="1" hidden="1" outlineLevel="1">
      <c r="A46" s="90" t="s">
        <v>172</v>
      </c>
      <c r="B46" s="91" t="s">
        <v>154</v>
      </c>
      <c r="C46" s="92" t="s">
        <v>155</v>
      </c>
      <c r="D46" s="91" t="s">
        <v>148</v>
      </c>
      <c r="E46" s="93">
        <v>2.0404800000000001</v>
      </c>
      <c r="F46" s="93">
        <v>2.0237479999999999</v>
      </c>
      <c r="G46" s="94"/>
      <c r="H46" s="95">
        <v>8363</v>
      </c>
      <c r="I46" s="96"/>
      <c r="J46" s="96">
        <v>16925</v>
      </c>
      <c r="K46" s="96"/>
      <c r="L46" s="97"/>
      <c r="M46" s="97"/>
    </row>
    <row r="47" spans="1:13" s="43" customFormat="1" hidden="1" outlineLevel="2">
      <c r="A47" s="98" t="s">
        <v>172</v>
      </c>
      <c r="B47" s="99"/>
      <c r="C47" s="100" t="s">
        <v>152</v>
      </c>
      <c r="D47" s="101" t="s">
        <v>142</v>
      </c>
      <c r="E47" s="102">
        <v>2.0404800000000001</v>
      </c>
      <c r="F47" s="102">
        <v>2.0237479999999999</v>
      </c>
      <c r="G47" s="103"/>
      <c r="H47" s="102">
        <v>2722</v>
      </c>
      <c r="I47" s="104"/>
      <c r="J47" s="104">
        <v>5508.64</v>
      </c>
      <c r="K47" s="96"/>
      <c r="L47" s="97"/>
      <c r="M47" s="97"/>
    </row>
    <row r="48" spans="1:13" s="43" customFormat="1" hidden="1" outlineLevel="1">
      <c r="A48" s="105" t="s">
        <v>173</v>
      </c>
      <c r="B48" s="106" t="s">
        <v>157</v>
      </c>
      <c r="C48" s="107" t="s">
        <v>158</v>
      </c>
      <c r="D48" s="106" t="s">
        <v>137</v>
      </c>
      <c r="E48" s="108">
        <v>1.7799999999999999E-3</v>
      </c>
      <c r="F48" s="108">
        <v>1.7650000000000001E-3</v>
      </c>
      <c r="G48" s="109">
        <v>1510113</v>
      </c>
      <c r="H48" s="110"/>
      <c r="I48" s="111"/>
      <c r="J48" s="111"/>
      <c r="K48" s="111">
        <v>2666</v>
      </c>
      <c r="L48" s="97"/>
      <c r="M48" s="97"/>
    </row>
    <row r="49" spans="1:13" s="43" customFormat="1" ht="21" hidden="1" outlineLevel="1">
      <c r="A49" s="105" t="s">
        <v>174</v>
      </c>
      <c r="B49" s="106" t="s">
        <v>160</v>
      </c>
      <c r="C49" s="107" t="s">
        <v>161</v>
      </c>
      <c r="D49" s="106" t="s">
        <v>162</v>
      </c>
      <c r="E49" s="108">
        <v>2.66</v>
      </c>
      <c r="F49" s="108">
        <v>2.638188</v>
      </c>
      <c r="G49" s="109">
        <v>1215</v>
      </c>
      <c r="H49" s="110"/>
      <c r="I49" s="111"/>
      <c r="J49" s="111"/>
      <c r="K49" s="111">
        <v>3205</v>
      </c>
      <c r="L49" s="97"/>
      <c r="M49" s="97"/>
    </row>
    <row r="50" spans="1:13" s="74" customFormat="1" ht="36" collapsed="1">
      <c r="A50" s="65" t="s">
        <v>36</v>
      </c>
      <c r="B50" s="66" t="s">
        <v>175</v>
      </c>
      <c r="C50" s="67" t="s">
        <v>176</v>
      </c>
      <c r="D50" s="68" t="s">
        <v>165</v>
      </c>
      <c r="E50" s="69"/>
      <c r="F50" s="112">
        <v>342</v>
      </c>
      <c r="G50" s="71">
        <v>4700</v>
      </c>
      <c r="H50" s="113" t="s">
        <v>138</v>
      </c>
      <c r="I50" s="72">
        <v>1607400</v>
      </c>
      <c r="J50" s="72" t="s">
        <v>138</v>
      </c>
      <c r="K50" s="72">
        <v>1607400</v>
      </c>
      <c r="L50" s="72" t="s">
        <v>138</v>
      </c>
      <c r="M50" s="73">
        <v>1607400</v>
      </c>
    </row>
    <row r="51" spans="1:13" s="74" customFormat="1">
      <c r="A51" s="75"/>
      <c r="B51" s="76"/>
      <c r="C51" s="77"/>
      <c r="D51" s="78"/>
      <c r="E51" s="79"/>
      <c r="F51" s="78"/>
      <c r="G51" s="114" t="s">
        <v>138</v>
      </c>
      <c r="H51" s="114" t="s">
        <v>138</v>
      </c>
      <c r="I51" s="81" t="s">
        <v>138</v>
      </c>
      <c r="J51" s="81" t="s">
        <v>138</v>
      </c>
      <c r="K51" s="81"/>
      <c r="L51" s="81" t="s">
        <v>138</v>
      </c>
      <c r="M51" s="81"/>
    </row>
    <row r="52" spans="1:13" s="74" customFormat="1" ht="24">
      <c r="A52" s="65" t="s">
        <v>38</v>
      </c>
      <c r="B52" s="66" t="s">
        <v>177</v>
      </c>
      <c r="C52" s="67" t="s">
        <v>178</v>
      </c>
      <c r="D52" s="68" t="s">
        <v>179</v>
      </c>
      <c r="E52" s="69"/>
      <c r="F52" s="112">
        <v>660</v>
      </c>
      <c r="G52" s="71">
        <v>179</v>
      </c>
      <c r="H52" s="71">
        <v>31</v>
      </c>
      <c r="I52" s="72">
        <v>118140</v>
      </c>
      <c r="J52" s="72">
        <v>20460</v>
      </c>
      <c r="K52" s="72">
        <v>1320</v>
      </c>
      <c r="L52" s="72" t="s">
        <v>138</v>
      </c>
      <c r="M52" s="73">
        <v>118140</v>
      </c>
    </row>
    <row r="53" spans="1:13" s="74" customFormat="1">
      <c r="A53" s="75"/>
      <c r="B53" s="76"/>
      <c r="C53" s="77"/>
      <c r="D53" s="78"/>
      <c r="E53" s="79"/>
      <c r="F53" s="78"/>
      <c r="G53" s="80">
        <v>146</v>
      </c>
      <c r="H53" s="80">
        <v>10</v>
      </c>
      <c r="I53" s="81">
        <v>96360</v>
      </c>
      <c r="J53" s="81">
        <v>6600</v>
      </c>
      <c r="K53" s="81"/>
      <c r="L53" s="81" t="s">
        <v>138</v>
      </c>
      <c r="M53" s="81"/>
    </row>
    <row r="54" spans="1:13" s="43" customFormat="1" ht="21" hidden="1" outlineLevel="1">
      <c r="A54" s="82" t="s">
        <v>180</v>
      </c>
      <c r="B54" s="83" t="s">
        <v>181</v>
      </c>
      <c r="C54" s="84" t="s">
        <v>182</v>
      </c>
      <c r="D54" s="83" t="s">
        <v>142</v>
      </c>
      <c r="E54" s="85">
        <v>2.6200000000000001E-2</v>
      </c>
      <c r="F54" s="85">
        <v>17.292000000000002</v>
      </c>
      <c r="G54" s="86">
        <v>5590</v>
      </c>
      <c r="H54" s="87"/>
      <c r="I54" s="88">
        <v>96662</v>
      </c>
      <c r="J54" s="88"/>
      <c r="K54" s="88"/>
      <c r="L54" s="89"/>
      <c r="M54" s="89"/>
    </row>
    <row r="55" spans="1:13" s="43" customFormat="1" hidden="1" outlineLevel="1">
      <c r="A55" s="82" t="s">
        <v>183</v>
      </c>
      <c r="B55" s="83" t="s">
        <v>34</v>
      </c>
      <c r="C55" s="84" t="s">
        <v>144</v>
      </c>
      <c r="D55" s="83" t="s">
        <v>142</v>
      </c>
      <c r="E55" s="85">
        <v>2E-3</v>
      </c>
      <c r="F55" s="85">
        <v>1.32</v>
      </c>
      <c r="G55" s="89"/>
      <c r="H55" s="87"/>
      <c r="I55" s="88"/>
      <c r="J55" s="88"/>
      <c r="K55" s="88"/>
      <c r="L55" s="89"/>
      <c r="M55" s="89"/>
    </row>
    <row r="56" spans="1:13" s="43" customFormat="1" ht="21" hidden="1" outlineLevel="1">
      <c r="A56" s="90" t="s">
        <v>184</v>
      </c>
      <c r="B56" s="91" t="s">
        <v>150</v>
      </c>
      <c r="C56" s="92" t="s">
        <v>151</v>
      </c>
      <c r="D56" s="91" t="s">
        <v>148</v>
      </c>
      <c r="E56" s="93">
        <v>1.439E-3</v>
      </c>
      <c r="F56" s="93">
        <v>0.94960800000000001</v>
      </c>
      <c r="G56" s="94"/>
      <c r="H56" s="95">
        <v>12979</v>
      </c>
      <c r="I56" s="96"/>
      <c r="J56" s="96">
        <v>12325</v>
      </c>
      <c r="K56" s="96"/>
      <c r="L56" s="97"/>
      <c r="M56" s="97"/>
    </row>
    <row r="57" spans="1:13" s="43" customFormat="1" hidden="1" outlineLevel="2">
      <c r="A57" s="98" t="s">
        <v>184</v>
      </c>
      <c r="B57" s="99"/>
      <c r="C57" s="100" t="s">
        <v>152</v>
      </c>
      <c r="D57" s="101" t="s">
        <v>142</v>
      </c>
      <c r="E57" s="102">
        <v>1.439E-3</v>
      </c>
      <c r="F57" s="102">
        <v>0.94960800000000001</v>
      </c>
      <c r="G57" s="103"/>
      <c r="H57" s="102">
        <v>3888</v>
      </c>
      <c r="I57" s="104"/>
      <c r="J57" s="104">
        <v>3692.08</v>
      </c>
      <c r="K57" s="96"/>
      <c r="L57" s="97"/>
      <c r="M57" s="97"/>
    </row>
    <row r="58" spans="1:13" s="43" customFormat="1" hidden="1" outlineLevel="1">
      <c r="A58" s="90" t="s">
        <v>185</v>
      </c>
      <c r="B58" s="91" t="s">
        <v>154</v>
      </c>
      <c r="C58" s="92" t="s">
        <v>155</v>
      </c>
      <c r="D58" s="91" t="s">
        <v>148</v>
      </c>
      <c r="E58" s="93">
        <v>1.439E-3</v>
      </c>
      <c r="F58" s="93">
        <v>0.94960800000000001</v>
      </c>
      <c r="G58" s="94"/>
      <c r="H58" s="95">
        <v>8363</v>
      </c>
      <c r="I58" s="96"/>
      <c r="J58" s="96">
        <v>7942</v>
      </c>
      <c r="K58" s="96"/>
      <c r="L58" s="97"/>
      <c r="M58" s="97"/>
    </row>
    <row r="59" spans="1:13" s="43" customFormat="1" hidden="1" outlineLevel="2">
      <c r="A59" s="98" t="s">
        <v>185</v>
      </c>
      <c r="B59" s="99"/>
      <c r="C59" s="100" t="s">
        <v>152</v>
      </c>
      <c r="D59" s="101" t="s">
        <v>142</v>
      </c>
      <c r="E59" s="102">
        <v>1.439E-3</v>
      </c>
      <c r="F59" s="102">
        <v>0.94960800000000001</v>
      </c>
      <c r="G59" s="103"/>
      <c r="H59" s="102">
        <v>2722</v>
      </c>
      <c r="I59" s="104"/>
      <c r="J59" s="104">
        <v>2584.83</v>
      </c>
      <c r="K59" s="96"/>
      <c r="L59" s="97"/>
      <c r="M59" s="97"/>
    </row>
    <row r="60" spans="1:13" s="43" customFormat="1" hidden="1" outlineLevel="1">
      <c r="A60" s="105" t="s">
        <v>186</v>
      </c>
      <c r="B60" s="106" t="s">
        <v>187</v>
      </c>
      <c r="C60" s="107" t="s">
        <v>188</v>
      </c>
      <c r="D60" s="106" t="s">
        <v>162</v>
      </c>
      <c r="E60" s="108">
        <v>1.6000000000000001E-3</v>
      </c>
      <c r="F60" s="108">
        <v>1.056</v>
      </c>
      <c r="G60" s="109">
        <v>1293</v>
      </c>
      <c r="H60" s="110"/>
      <c r="I60" s="111"/>
      <c r="J60" s="111"/>
      <c r="K60" s="111">
        <v>1365</v>
      </c>
      <c r="L60" s="97"/>
      <c r="M60" s="97"/>
    </row>
    <row r="61" spans="1:13" s="74" customFormat="1" ht="24" collapsed="1">
      <c r="A61" s="65" t="s">
        <v>40</v>
      </c>
      <c r="B61" s="66" t="s">
        <v>189</v>
      </c>
      <c r="C61" s="67" t="s">
        <v>190</v>
      </c>
      <c r="D61" s="68" t="s">
        <v>191</v>
      </c>
      <c r="E61" s="69"/>
      <c r="F61" s="112">
        <v>660</v>
      </c>
      <c r="G61" s="71">
        <v>720</v>
      </c>
      <c r="H61" s="113" t="s">
        <v>138</v>
      </c>
      <c r="I61" s="72">
        <v>475200</v>
      </c>
      <c r="J61" s="72" t="s">
        <v>138</v>
      </c>
      <c r="K61" s="72">
        <v>475200</v>
      </c>
      <c r="L61" s="72" t="s">
        <v>138</v>
      </c>
      <c r="M61" s="73">
        <v>475200</v>
      </c>
    </row>
    <row r="62" spans="1:13" s="74" customFormat="1">
      <c r="A62" s="75"/>
      <c r="B62" s="76"/>
      <c r="C62" s="77"/>
      <c r="D62" s="78"/>
      <c r="E62" s="79"/>
      <c r="F62" s="78"/>
      <c r="G62" s="114" t="s">
        <v>138</v>
      </c>
      <c r="H62" s="114" t="s">
        <v>138</v>
      </c>
      <c r="I62" s="81" t="s">
        <v>138</v>
      </c>
      <c r="J62" s="81" t="s">
        <v>138</v>
      </c>
      <c r="K62" s="81"/>
      <c r="L62" s="81" t="s">
        <v>138</v>
      </c>
      <c r="M62" s="81"/>
    </row>
    <row r="63" spans="1:13" s="74" customFormat="1" ht="24">
      <c r="A63" s="65" t="s">
        <v>42</v>
      </c>
      <c r="B63" s="66" t="s">
        <v>192</v>
      </c>
      <c r="C63" s="67" t="s">
        <v>193</v>
      </c>
      <c r="D63" s="68" t="s">
        <v>179</v>
      </c>
      <c r="E63" s="69"/>
      <c r="F63" s="112">
        <v>320</v>
      </c>
      <c r="G63" s="71">
        <v>234</v>
      </c>
      <c r="H63" s="71">
        <v>84</v>
      </c>
      <c r="I63" s="72">
        <v>74880</v>
      </c>
      <c r="J63" s="72">
        <v>26880</v>
      </c>
      <c r="K63" s="72">
        <v>1280</v>
      </c>
      <c r="L63" s="72" t="s">
        <v>138</v>
      </c>
      <c r="M63" s="73">
        <v>74880</v>
      </c>
    </row>
    <row r="64" spans="1:13" s="74" customFormat="1">
      <c r="A64" s="75"/>
      <c r="B64" s="76"/>
      <c r="C64" s="77"/>
      <c r="D64" s="78"/>
      <c r="E64" s="79"/>
      <c r="F64" s="78"/>
      <c r="G64" s="80">
        <v>146</v>
      </c>
      <c r="H64" s="80">
        <v>26</v>
      </c>
      <c r="I64" s="81">
        <v>46720</v>
      </c>
      <c r="J64" s="81">
        <v>8320</v>
      </c>
      <c r="K64" s="81"/>
      <c r="L64" s="81" t="s">
        <v>138</v>
      </c>
      <c r="M64" s="81"/>
    </row>
    <row r="65" spans="1:13" s="43" customFormat="1" ht="21" hidden="1" outlineLevel="1">
      <c r="A65" s="82" t="s">
        <v>194</v>
      </c>
      <c r="B65" s="83" t="s">
        <v>181</v>
      </c>
      <c r="C65" s="84" t="s">
        <v>182</v>
      </c>
      <c r="D65" s="83" t="s">
        <v>142</v>
      </c>
      <c r="E65" s="85">
        <v>2.6200000000000001E-2</v>
      </c>
      <c r="F65" s="85">
        <v>8.3840000000000003</v>
      </c>
      <c r="G65" s="86">
        <v>5590</v>
      </c>
      <c r="H65" s="87"/>
      <c r="I65" s="88">
        <v>46867</v>
      </c>
      <c r="J65" s="88"/>
      <c r="K65" s="88"/>
      <c r="L65" s="89"/>
      <c r="M65" s="89"/>
    </row>
    <row r="66" spans="1:13" s="43" customFormat="1" hidden="1" outlineLevel="1">
      <c r="A66" s="82" t="s">
        <v>195</v>
      </c>
      <c r="B66" s="83" t="s">
        <v>34</v>
      </c>
      <c r="C66" s="84" t="s">
        <v>144</v>
      </c>
      <c r="D66" s="83" t="s">
        <v>142</v>
      </c>
      <c r="E66" s="85">
        <v>8.0000000000000002E-3</v>
      </c>
      <c r="F66" s="85">
        <v>2.56</v>
      </c>
      <c r="G66" s="89"/>
      <c r="H66" s="87"/>
      <c r="I66" s="88"/>
      <c r="J66" s="88"/>
      <c r="K66" s="88"/>
      <c r="L66" s="89"/>
      <c r="M66" s="89"/>
    </row>
    <row r="67" spans="1:13" s="43" customFormat="1" ht="21" hidden="1" outlineLevel="1">
      <c r="A67" s="90" t="s">
        <v>196</v>
      </c>
      <c r="B67" s="91" t="s">
        <v>150</v>
      </c>
      <c r="C67" s="92" t="s">
        <v>151</v>
      </c>
      <c r="D67" s="91" t="s">
        <v>148</v>
      </c>
      <c r="E67" s="93">
        <v>3.9240000000000004E-3</v>
      </c>
      <c r="F67" s="93">
        <v>1.2556799999999999</v>
      </c>
      <c r="G67" s="94"/>
      <c r="H67" s="95">
        <v>12979</v>
      </c>
      <c r="I67" s="96"/>
      <c r="J67" s="96">
        <v>16297</v>
      </c>
      <c r="K67" s="96"/>
      <c r="L67" s="97"/>
      <c r="M67" s="97"/>
    </row>
    <row r="68" spans="1:13" s="43" customFormat="1" hidden="1" outlineLevel="2">
      <c r="A68" s="98" t="s">
        <v>196</v>
      </c>
      <c r="B68" s="99"/>
      <c r="C68" s="100" t="s">
        <v>152</v>
      </c>
      <c r="D68" s="101" t="s">
        <v>142</v>
      </c>
      <c r="E68" s="102">
        <v>3.9240000000000004E-3</v>
      </c>
      <c r="F68" s="102">
        <v>1.2556799999999999</v>
      </c>
      <c r="G68" s="103"/>
      <c r="H68" s="102">
        <v>3888</v>
      </c>
      <c r="I68" s="104"/>
      <c r="J68" s="104">
        <v>4882.08</v>
      </c>
      <c r="K68" s="96"/>
      <c r="L68" s="97"/>
      <c r="M68" s="97"/>
    </row>
    <row r="69" spans="1:13" s="43" customFormat="1" hidden="1" outlineLevel="1">
      <c r="A69" s="90" t="s">
        <v>197</v>
      </c>
      <c r="B69" s="91" t="s">
        <v>154</v>
      </c>
      <c r="C69" s="92" t="s">
        <v>155</v>
      </c>
      <c r="D69" s="91" t="s">
        <v>148</v>
      </c>
      <c r="E69" s="93">
        <v>3.9240000000000004E-3</v>
      </c>
      <c r="F69" s="93">
        <v>1.2556799999999999</v>
      </c>
      <c r="G69" s="94"/>
      <c r="H69" s="95">
        <v>8363</v>
      </c>
      <c r="I69" s="96"/>
      <c r="J69" s="96">
        <v>10501</v>
      </c>
      <c r="K69" s="96"/>
      <c r="L69" s="97"/>
      <c r="M69" s="97"/>
    </row>
    <row r="70" spans="1:13" s="43" customFormat="1" hidden="1" outlineLevel="2">
      <c r="A70" s="98" t="s">
        <v>197</v>
      </c>
      <c r="B70" s="99"/>
      <c r="C70" s="100" t="s">
        <v>152</v>
      </c>
      <c r="D70" s="101" t="s">
        <v>142</v>
      </c>
      <c r="E70" s="102">
        <v>3.9240000000000004E-3</v>
      </c>
      <c r="F70" s="102">
        <v>1.2556799999999999</v>
      </c>
      <c r="G70" s="103"/>
      <c r="H70" s="102">
        <v>2722</v>
      </c>
      <c r="I70" s="104"/>
      <c r="J70" s="104">
        <v>3417.96</v>
      </c>
      <c r="K70" s="96"/>
      <c r="L70" s="97"/>
      <c r="M70" s="97"/>
    </row>
    <row r="71" spans="1:13" s="43" customFormat="1" hidden="1" outlineLevel="1">
      <c r="A71" s="105" t="s">
        <v>198</v>
      </c>
      <c r="B71" s="106" t="s">
        <v>187</v>
      </c>
      <c r="C71" s="107" t="s">
        <v>188</v>
      </c>
      <c r="D71" s="106" t="s">
        <v>162</v>
      </c>
      <c r="E71" s="108">
        <v>3.0999999999999999E-3</v>
      </c>
      <c r="F71" s="108">
        <v>0.99199999999999999</v>
      </c>
      <c r="G71" s="109">
        <v>1293</v>
      </c>
      <c r="H71" s="110"/>
      <c r="I71" s="111"/>
      <c r="J71" s="111"/>
      <c r="K71" s="111">
        <v>1283</v>
      </c>
      <c r="L71" s="97"/>
      <c r="M71" s="97"/>
    </row>
    <row r="72" spans="1:13" s="74" customFormat="1" ht="24" collapsed="1">
      <c r="A72" s="65" t="s">
        <v>44</v>
      </c>
      <c r="B72" s="66" t="s">
        <v>199</v>
      </c>
      <c r="C72" s="67" t="s">
        <v>200</v>
      </c>
      <c r="D72" s="68" t="s">
        <v>191</v>
      </c>
      <c r="E72" s="69"/>
      <c r="F72" s="112">
        <v>320</v>
      </c>
      <c r="G72" s="71">
        <v>819</v>
      </c>
      <c r="H72" s="113" t="s">
        <v>138</v>
      </c>
      <c r="I72" s="72">
        <v>262080</v>
      </c>
      <c r="J72" s="72" t="s">
        <v>138</v>
      </c>
      <c r="K72" s="72">
        <v>262080</v>
      </c>
      <c r="L72" s="72" t="s">
        <v>138</v>
      </c>
      <c r="M72" s="73">
        <v>262080</v>
      </c>
    </row>
    <row r="73" spans="1:13" s="74" customFormat="1">
      <c r="A73" s="75"/>
      <c r="B73" s="76"/>
      <c r="C73" s="77"/>
      <c r="D73" s="78"/>
      <c r="E73" s="79"/>
      <c r="F73" s="78"/>
      <c r="G73" s="114" t="s">
        <v>138</v>
      </c>
      <c r="H73" s="114" t="s">
        <v>138</v>
      </c>
      <c r="I73" s="81" t="s">
        <v>138</v>
      </c>
      <c r="J73" s="81" t="s">
        <v>138</v>
      </c>
      <c r="K73" s="81"/>
      <c r="L73" s="81" t="s">
        <v>138</v>
      </c>
      <c r="M73" s="81"/>
    </row>
    <row r="74" spans="1:13" s="74" customFormat="1" ht="36">
      <c r="A74" s="65" t="s">
        <v>46</v>
      </c>
      <c r="B74" s="66" t="s">
        <v>201</v>
      </c>
      <c r="C74" s="67" t="s">
        <v>202</v>
      </c>
      <c r="D74" s="68" t="s">
        <v>179</v>
      </c>
      <c r="E74" s="69"/>
      <c r="F74" s="112">
        <v>490</v>
      </c>
      <c r="G74" s="71">
        <v>2002</v>
      </c>
      <c r="H74" s="71">
        <v>181</v>
      </c>
      <c r="I74" s="72">
        <v>980980</v>
      </c>
      <c r="J74" s="72">
        <v>88690</v>
      </c>
      <c r="K74" s="72">
        <v>32830</v>
      </c>
      <c r="L74" s="72" t="s">
        <v>138</v>
      </c>
      <c r="M74" s="73">
        <v>980980</v>
      </c>
    </row>
    <row r="75" spans="1:13" s="74" customFormat="1">
      <c r="A75" s="75"/>
      <c r="B75" s="76"/>
      <c r="C75" s="77"/>
      <c r="D75" s="78"/>
      <c r="E75" s="79"/>
      <c r="F75" s="78"/>
      <c r="G75" s="80">
        <v>1754</v>
      </c>
      <c r="H75" s="80">
        <v>36</v>
      </c>
      <c r="I75" s="81">
        <v>859460</v>
      </c>
      <c r="J75" s="81">
        <v>17640</v>
      </c>
      <c r="K75" s="81"/>
      <c r="L75" s="81" t="s">
        <v>138</v>
      </c>
      <c r="M75" s="81"/>
    </row>
    <row r="76" spans="1:13" s="43" customFormat="1" ht="21" hidden="1" outlineLevel="1">
      <c r="A76" s="82" t="s">
        <v>203</v>
      </c>
      <c r="B76" s="83" t="s">
        <v>181</v>
      </c>
      <c r="C76" s="84" t="s">
        <v>182</v>
      </c>
      <c r="D76" s="83" t="s">
        <v>142</v>
      </c>
      <c r="E76" s="85">
        <v>0.31390000000000001</v>
      </c>
      <c r="F76" s="85">
        <v>153.81100000000001</v>
      </c>
      <c r="G76" s="86">
        <v>5590</v>
      </c>
      <c r="H76" s="87"/>
      <c r="I76" s="88">
        <v>859803</v>
      </c>
      <c r="J76" s="88"/>
      <c r="K76" s="88"/>
      <c r="L76" s="89"/>
      <c r="M76" s="89"/>
    </row>
    <row r="77" spans="1:13" s="43" customFormat="1" hidden="1" outlineLevel="1">
      <c r="A77" s="82" t="s">
        <v>204</v>
      </c>
      <c r="B77" s="83" t="s">
        <v>34</v>
      </c>
      <c r="C77" s="84" t="s">
        <v>144</v>
      </c>
      <c r="D77" s="83" t="s">
        <v>142</v>
      </c>
      <c r="E77" s="85">
        <v>0.01</v>
      </c>
      <c r="F77" s="85">
        <v>4.9000000000000004</v>
      </c>
      <c r="G77" s="89"/>
      <c r="H77" s="87"/>
      <c r="I77" s="88"/>
      <c r="J77" s="88"/>
      <c r="K77" s="88"/>
      <c r="L77" s="89"/>
      <c r="M77" s="89"/>
    </row>
    <row r="78" spans="1:13" s="43" customFormat="1" hidden="1" outlineLevel="1">
      <c r="A78" s="90" t="s">
        <v>205</v>
      </c>
      <c r="B78" s="91" t="s">
        <v>146</v>
      </c>
      <c r="C78" s="92" t="s">
        <v>147</v>
      </c>
      <c r="D78" s="91" t="s">
        <v>148</v>
      </c>
      <c r="E78" s="93">
        <v>0.28776000000000002</v>
      </c>
      <c r="F78" s="93">
        <v>141.00239999999999</v>
      </c>
      <c r="G78" s="94"/>
      <c r="H78" s="95">
        <v>230</v>
      </c>
      <c r="I78" s="96"/>
      <c r="J78" s="96">
        <v>32431</v>
      </c>
      <c r="K78" s="96"/>
      <c r="L78" s="97"/>
      <c r="M78" s="97"/>
    </row>
    <row r="79" spans="1:13" s="43" customFormat="1" ht="21" hidden="1" outlineLevel="1">
      <c r="A79" s="90" t="s">
        <v>206</v>
      </c>
      <c r="B79" s="91" t="s">
        <v>150</v>
      </c>
      <c r="C79" s="92" t="s">
        <v>151</v>
      </c>
      <c r="D79" s="91" t="s">
        <v>148</v>
      </c>
      <c r="E79" s="93">
        <v>5.3629999999999997E-3</v>
      </c>
      <c r="F79" s="93">
        <v>2.6277720000000002</v>
      </c>
      <c r="G79" s="94"/>
      <c r="H79" s="95">
        <v>12979</v>
      </c>
      <c r="I79" s="96"/>
      <c r="J79" s="96">
        <v>34106</v>
      </c>
      <c r="K79" s="96"/>
      <c r="L79" s="97"/>
      <c r="M79" s="97"/>
    </row>
    <row r="80" spans="1:13" s="43" customFormat="1" hidden="1" outlineLevel="2">
      <c r="A80" s="98" t="s">
        <v>206</v>
      </c>
      <c r="B80" s="99"/>
      <c r="C80" s="100" t="s">
        <v>152</v>
      </c>
      <c r="D80" s="101" t="s">
        <v>142</v>
      </c>
      <c r="E80" s="102">
        <v>5.3629999999999997E-3</v>
      </c>
      <c r="F80" s="102">
        <v>2.6277720000000002</v>
      </c>
      <c r="G80" s="103"/>
      <c r="H80" s="102">
        <v>3888</v>
      </c>
      <c r="I80" s="104"/>
      <c r="J80" s="104">
        <v>10216.780000000001</v>
      </c>
      <c r="K80" s="96"/>
      <c r="L80" s="97"/>
      <c r="M80" s="97"/>
    </row>
    <row r="81" spans="1:13" s="43" customFormat="1" hidden="1" outlineLevel="1">
      <c r="A81" s="90" t="s">
        <v>207</v>
      </c>
      <c r="B81" s="91" t="s">
        <v>154</v>
      </c>
      <c r="C81" s="92" t="s">
        <v>155</v>
      </c>
      <c r="D81" s="91" t="s">
        <v>148</v>
      </c>
      <c r="E81" s="93">
        <v>5.3629999999999997E-3</v>
      </c>
      <c r="F81" s="93">
        <v>2.6277720000000002</v>
      </c>
      <c r="G81" s="94"/>
      <c r="H81" s="95">
        <v>8363</v>
      </c>
      <c r="I81" s="96"/>
      <c r="J81" s="96">
        <v>21976</v>
      </c>
      <c r="K81" s="96"/>
      <c r="L81" s="97"/>
      <c r="M81" s="97"/>
    </row>
    <row r="82" spans="1:13" s="43" customFormat="1" hidden="1" outlineLevel="2">
      <c r="A82" s="98" t="s">
        <v>207</v>
      </c>
      <c r="B82" s="99"/>
      <c r="C82" s="100" t="s">
        <v>152</v>
      </c>
      <c r="D82" s="101" t="s">
        <v>142</v>
      </c>
      <c r="E82" s="102">
        <v>5.3629999999999997E-3</v>
      </c>
      <c r="F82" s="102">
        <v>2.6277720000000002</v>
      </c>
      <c r="G82" s="103"/>
      <c r="H82" s="102">
        <v>2722</v>
      </c>
      <c r="I82" s="104"/>
      <c r="J82" s="104">
        <v>7152.8</v>
      </c>
      <c r="K82" s="96"/>
      <c r="L82" s="97"/>
      <c r="M82" s="97"/>
    </row>
    <row r="83" spans="1:13" s="43" customFormat="1" hidden="1" outlineLevel="1">
      <c r="A83" s="105" t="s">
        <v>208</v>
      </c>
      <c r="B83" s="106" t="s">
        <v>209</v>
      </c>
      <c r="C83" s="107" t="s">
        <v>210</v>
      </c>
      <c r="D83" s="106" t="s">
        <v>211</v>
      </c>
      <c r="E83" s="108">
        <v>4.3999999999999997E-2</v>
      </c>
      <c r="F83" s="108">
        <v>21.56</v>
      </c>
      <c r="G83" s="109">
        <v>322</v>
      </c>
      <c r="H83" s="110"/>
      <c r="I83" s="111"/>
      <c r="J83" s="111"/>
      <c r="K83" s="111">
        <v>6942</v>
      </c>
      <c r="L83" s="97"/>
      <c r="M83" s="97"/>
    </row>
    <row r="84" spans="1:13" s="43" customFormat="1" hidden="1" outlineLevel="1">
      <c r="A84" s="105" t="s">
        <v>212</v>
      </c>
      <c r="B84" s="106" t="s">
        <v>187</v>
      </c>
      <c r="C84" s="107" t="s">
        <v>188</v>
      </c>
      <c r="D84" s="106" t="s">
        <v>162</v>
      </c>
      <c r="E84" s="108">
        <v>6.0000000000000001E-3</v>
      </c>
      <c r="F84" s="108">
        <v>2.94</v>
      </c>
      <c r="G84" s="109">
        <v>1293</v>
      </c>
      <c r="H84" s="110"/>
      <c r="I84" s="111"/>
      <c r="J84" s="111"/>
      <c r="K84" s="111">
        <v>3801</v>
      </c>
      <c r="L84" s="97"/>
      <c r="M84" s="97"/>
    </row>
    <row r="85" spans="1:13" s="43" customFormat="1" ht="21" hidden="1" outlineLevel="1">
      <c r="A85" s="105" t="s">
        <v>213</v>
      </c>
      <c r="B85" s="106" t="s">
        <v>160</v>
      </c>
      <c r="C85" s="107" t="s">
        <v>161</v>
      </c>
      <c r="D85" s="106" t="s">
        <v>162</v>
      </c>
      <c r="E85" s="108">
        <v>3.6799999999999999E-2</v>
      </c>
      <c r="F85" s="108">
        <v>18.032</v>
      </c>
      <c r="G85" s="109">
        <v>1215</v>
      </c>
      <c r="H85" s="110"/>
      <c r="I85" s="111"/>
      <c r="J85" s="111"/>
      <c r="K85" s="111">
        <v>21909</v>
      </c>
      <c r="L85" s="97"/>
      <c r="M85" s="97"/>
    </row>
    <row r="86" spans="1:13" s="74" customFormat="1" ht="24" collapsed="1">
      <c r="A86" s="65" t="s">
        <v>48</v>
      </c>
      <c r="B86" s="66" t="s">
        <v>214</v>
      </c>
      <c r="C86" s="67" t="s">
        <v>215</v>
      </c>
      <c r="D86" s="68" t="s">
        <v>191</v>
      </c>
      <c r="E86" s="69"/>
      <c r="F86" s="112">
        <v>490</v>
      </c>
      <c r="G86" s="71">
        <v>825</v>
      </c>
      <c r="H86" s="113" t="s">
        <v>138</v>
      </c>
      <c r="I86" s="72">
        <v>404250</v>
      </c>
      <c r="J86" s="72" t="s">
        <v>138</v>
      </c>
      <c r="K86" s="72">
        <v>404250</v>
      </c>
      <c r="L86" s="72" t="s">
        <v>138</v>
      </c>
      <c r="M86" s="73">
        <v>404250</v>
      </c>
    </row>
    <row r="87" spans="1:13" s="74" customFormat="1">
      <c r="A87" s="75"/>
      <c r="B87" s="76"/>
      <c r="C87" s="77"/>
      <c r="D87" s="78"/>
      <c r="E87" s="79"/>
      <c r="F87" s="78"/>
      <c r="G87" s="114" t="s">
        <v>138</v>
      </c>
      <c r="H87" s="114" t="s">
        <v>138</v>
      </c>
      <c r="I87" s="81" t="s">
        <v>138</v>
      </c>
      <c r="J87" s="81" t="s">
        <v>138</v>
      </c>
      <c r="K87" s="81"/>
      <c r="L87" s="81" t="s">
        <v>138</v>
      </c>
      <c r="M87" s="81"/>
    </row>
    <row r="88" spans="1:13" s="74" customFormat="1" ht="24">
      <c r="A88" s="65" t="s">
        <v>50</v>
      </c>
      <c r="B88" s="66" t="s">
        <v>216</v>
      </c>
      <c r="C88" s="67" t="s">
        <v>217</v>
      </c>
      <c r="D88" s="68" t="s">
        <v>191</v>
      </c>
      <c r="E88" s="69"/>
      <c r="F88" s="112">
        <v>980</v>
      </c>
      <c r="G88" s="71">
        <v>148</v>
      </c>
      <c r="H88" s="113" t="s">
        <v>138</v>
      </c>
      <c r="I88" s="72">
        <v>145040</v>
      </c>
      <c r="J88" s="72" t="s">
        <v>138</v>
      </c>
      <c r="K88" s="72">
        <v>145040</v>
      </c>
      <c r="L88" s="72" t="s">
        <v>138</v>
      </c>
      <c r="M88" s="73">
        <v>145040</v>
      </c>
    </row>
    <row r="89" spans="1:13" s="74" customFormat="1">
      <c r="A89" s="75"/>
      <c r="B89" s="76"/>
      <c r="C89" s="77"/>
      <c r="D89" s="78"/>
      <c r="E89" s="79"/>
      <c r="F89" s="78"/>
      <c r="G89" s="114" t="s">
        <v>138</v>
      </c>
      <c r="H89" s="114" t="s">
        <v>138</v>
      </c>
      <c r="I89" s="81" t="s">
        <v>138</v>
      </c>
      <c r="J89" s="81" t="s">
        <v>138</v>
      </c>
      <c r="K89" s="81"/>
      <c r="L89" s="81" t="s">
        <v>138</v>
      </c>
      <c r="M89" s="81"/>
    </row>
    <row r="90" spans="1:13" s="74" customFormat="1" ht="48">
      <c r="A90" s="65" t="s">
        <v>52</v>
      </c>
      <c r="B90" s="66" t="s">
        <v>135</v>
      </c>
      <c r="C90" s="67" t="s">
        <v>136</v>
      </c>
      <c r="D90" s="68" t="s">
        <v>137</v>
      </c>
      <c r="E90" s="69"/>
      <c r="F90" s="70">
        <v>5.8799999999999998E-2</v>
      </c>
      <c r="G90" s="71">
        <v>458904</v>
      </c>
      <c r="H90" s="71">
        <v>47489</v>
      </c>
      <c r="I90" s="72">
        <v>26984</v>
      </c>
      <c r="J90" s="72">
        <v>2792</v>
      </c>
      <c r="K90" s="72">
        <v>466</v>
      </c>
      <c r="L90" s="72" t="s">
        <v>138</v>
      </c>
      <c r="M90" s="73">
        <v>26984</v>
      </c>
    </row>
    <row r="91" spans="1:13" s="74" customFormat="1">
      <c r="A91" s="75"/>
      <c r="B91" s="76"/>
      <c r="C91" s="77"/>
      <c r="D91" s="78"/>
      <c r="E91" s="79"/>
      <c r="F91" s="78"/>
      <c r="G91" s="80">
        <v>403497</v>
      </c>
      <c r="H91" s="80">
        <v>13487</v>
      </c>
      <c r="I91" s="81">
        <v>23726</v>
      </c>
      <c r="J91" s="81">
        <v>793</v>
      </c>
      <c r="K91" s="81"/>
      <c r="L91" s="81" t="s">
        <v>138</v>
      </c>
      <c r="M91" s="81"/>
    </row>
    <row r="92" spans="1:13" s="43" customFormat="1" ht="21" hidden="1" outlineLevel="1">
      <c r="A92" s="82" t="s">
        <v>218</v>
      </c>
      <c r="B92" s="83" t="s">
        <v>140</v>
      </c>
      <c r="C92" s="84" t="s">
        <v>141</v>
      </c>
      <c r="D92" s="83" t="s">
        <v>142</v>
      </c>
      <c r="E92" s="85">
        <v>74.555999999999997</v>
      </c>
      <c r="F92" s="85">
        <v>4.3838929999999996</v>
      </c>
      <c r="G92" s="86">
        <v>5412</v>
      </c>
      <c r="H92" s="87"/>
      <c r="I92" s="88">
        <v>23726</v>
      </c>
      <c r="J92" s="88"/>
      <c r="K92" s="88"/>
      <c r="L92" s="89"/>
      <c r="M92" s="89"/>
    </row>
    <row r="93" spans="1:13" s="43" customFormat="1" hidden="1" outlineLevel="1">
      <c r="A93" s="82" t="s">
        <v>219</v>
      </c>
      <c r="B93" s="83" t="s">
        <v>34</v>
      </c>
      <c r="C93" s="84" t="s">
        <v>144</v>
      </c>
      <c r="D93" s="83" t="s">
        <v>142</v>
      </c>
      <c r="E93" s="85">
        <v>4.08</v>
      </c>
      <c r="F93" s="85">
        <v>0.2399</v>
      </c>
      <c r="G93" s="89"/>
      <c r="H93" s="87"/>
      <c r="I93" s="88"/>
      <c r="J93" s="88"/>
      <c r="K93" s="88"/>
      <c r="L93" s="89"/>
      <c r="M93" s="89"/>
    </row>
    <row r="94" spans="1:13" s="43" customFormat="1" hidden="1" outlineLevel="1">
      <c r="A94" s="90" t="s">
        <v>220</v>
      </c>
      <c r="B94" s="91" t="s">
        <v>146</v>
      </c>
      <c r="C94" s="92" t="s">
        <v>147</v>
      </c>
      <c r="D94" s="91" t="s">
        <v>148</v>
      </c>
      <c r="E94" s="93">
        <v>17.134799999999998</v>
      </c>
      <c r="F94" s="93">
        <v>1.0075259999999999</v>
      </c>
      <c r="G94" s="94"/>
      <c r="H94" s="95">
        <v>230</v>
      </c>
      <c r="I94" s="96"/>
      <c r="J94" s="96">
        <v>232</v>
      </c>
      <c r="K94" s="96"/>
      <c r="L94" s="97"/>
      <c r="M94" s="97"/>
    </row>
    <row r="95" spans="1:13" s="43" customFormat="1" ht="21" hidden="1" outlineLevel="1">
      <c r="A95" s="90" t="s">
        <v>221</v>
      </c>
      <c r="B95" s="91" t="s">
        <v>150</v>
      </c>
      <c r="C95" s="92" t="s">
        <v>151</v>
      </c>
      <c r="D95" s="91" t="s">
        <v>148</v>
      </c>
      <c r="E95" s="93">
        <v>2.0404800000000001</v>
      </c>
      <c r="F95" s="93">
        <v>0.11998</v>
      </c>
      <c r="G95" s="94"/>
      <c r="H95" s="95">
        <v>12979</v>
      </c>
      <c r="I95" s="96"/>
      <c r="J95" s="96">
        <v>1557</v>
      </c>
      <c r="K95" s="96"/>
      <c r="L95" s="97"/>
      <c r="M95" s="97"/>
    </row>
    <row r="96" spans="1:13" s="43" customFormat="1" hidden="1" outlineLevel="2">
      <c r="A96" s="98" t="s">
        <v>221</v>
      </c>
      <c r="B96" s="99"/>
      <c r="C96" s="100" t="s">
        <v>152</v>
      </c>
      <c r="D96" s="101" t="s">
        <v>142</v>
      </c>
      <c r="E96" s="102">
        <v>2.0404800000000001</v>
      </c>
      <c r="F96" s="102">
        <v>0.11998</v>
      </c>
      <c r="G96" s="103"/>
      <c r="H96" s="102">
        <v>3888</v>
      </c>
      <c r="I96" s="104"/>
      <c r="J96" s="104">
        <v>466.48</v>
      </c>
      <c r="K96" s="96"/>
      <c r="L96" s="97"/>
      <c r="M96" s="97"/>
    </row>
    <row r="97" spans="1:13" s="43" customFormat="1" hidden="1" outlineLevel="1">
      <c r="A97" s="90" t="s">
        <v>222</v>
      </c>
      <c r="B97" s="91" t="s">
        <v>154</v>
      </c>
      <c r="C97" s="92" t="s">
        <v>155</v>
      </c>
      <c r="D97" s="91" t="s">
        <v>148</v>
      </c>
      <c r="E97" s="93">
        <v>2.0404800000000001</v>
      </c>
      <c r="F97" s="93">
        <v>0.11998</v>
      </c>
      <c r="G97" s="94"/>
      <c r="H97" s="95">
        <v>8363</v>
      </c>
      <c r="I97" s="96"/>
      <c r="J97" s="96">
        <v>1003</v>
      </c>
      <c r="K97" s="96"/>
      <c r="L97" s="97"/>
      <c r="M97" s="97"/>
    </row>
    <row r="98" spans="1:13" s="43" customFormat="1" hidden="1" outlineLevel="2">
      <c r="A98" s="98" t="s">
        <v>222</v>
      </c>
      <c r="B98" s="99"/>
      <c r="C98" s="100" t="s">
        <v>152</v>
      </c>
      <c r="D98" s="101" t="s">
        <v>142</v>
      </c>
      <c r="E98" s="102">
        <v>2.0404800000000001</v>
      </c>
      <c r="F98" s="102">
        <v>0.11998</v>
      </c>
      <c r="G98" s="103"/>
      <c r="H98" s="102">
        <v>2722</v>
      </c>
      <c r="I98" s="104"/>
      <c r="J98" s="104">
        <v>326.58999999999997</v>
      </c>
      <c r="K98" s="96"/>
      <c r="L98" s="97"/>
      <c r="M98" s="97"/>
    </row>
    <row r="99" spans="1:13" s="43" customFormat="1" hidden="1" outlineLevel="1">
      <c r="A99" s="105" t="s">
        <v>223</v>
      </c>
      <c r="B99" s="106" t="s">
        <v>157</v>
      </c>
      <c r="C99" s="107" t="s">
        <v>158</v>
      </c>
      <c r="D99" s="106" t="s">
        <v>137</v>
      </c>
      <c r="E99" s="108">
        <v>2.5400000000000002E-3</v>
      </c>
      <c r="F99" s="108">
        <v>1.4899999999999999E-4</v>
      </c>
      <c r="G99" s="109">
        <v>1510113</v>
      </c>
      <c r="H99" s="110"/>
      <c r="I99" s="111"/>
      <c r="J99" s="111"/>
      <c r="K99" s="111">
        <v>226</v>
      </c>
      <c r="L99" s="97"/>
      <c r="M99" s="97"/>
    </row>
    <row r="100" spans="1:13" s="43" customFormat="1" ht="21" hidden="1" outlineLevel="1">
      <c r="A100" s="105" t="s">
        <v>224</v>
      </c>
      <c r="B100" s="106" t="s">
        <v>160</v>
      </c>
      <c r="C100" s="107" t="s">
        <v>161</v>
      </c>
      <c r="D100" s="106" t="s">
        <v>162</v>
      </c>
      <c r="E100" s="108">
        <v>3.36</v>
      </c>
      <c r="F100" s="108">
        <v>0.19756799999999999</v>
      </c>
      <c r="G100" s="109">
        <v>1215</v>
      </c>
      <c r="H100" s="110"/>
      <c r="I100" s="111"/>
      <c r="J100" s="111"/>
      <c r="K100" s="111">
        <v>240</v>
      </c>
      <c r="L100" s="97"/>
      <c r="M100" s="97"/>
    </row>
    <row r="101" spans="1:13" s="74" customFormat="1" ht="36" collapsed="1">
      <c r="A101" s="65" t="s">
        <v>54</v>
      </c>
      <c r="B101" s="66" t="s">
        <v>225</v>
      </c>
      <c r="C101" s="67" t="s">
        <v>226</v>
      </c>
      <c r="D101" s="68" t="s">
        <v>191</v>
      </c>
      <c r="E101" s="69"/>
      <c r="F101" s="112">
        <v>1960</v>
      </c>
      <c r="G101" s="71">
        <v>311</v>
      </c>
      <c r="H101" s="113" t="s">
        <v>138</v>
      </c>
      <c r="I101" s="72">
        <v>609560</v>
      </c>
      <c r="J101" s="72" t="s">
        <v>138</v>
      </c>
      <c r="K101" s="72">
        <v>609560</v>
      </c>
      <c r="L101" s="72" t="s">
        <v>138</v>
      </c>
      <c r="M101" s="73">
        <v>609560</v>
      </c>
    </row>
    <row r="102" spans="1:13" s="74" customFormat="1">
      <c r="A102" s="75"/>
      <c r="B102" s="76"/>
      <c r="C102" s="77"/>
      <c r="D102" s="78"/>
      <c r="E102" s="79"/>
      <c r="F102" s="78"/>
      <c r="G102" s="114" t="s">
        <v>138</v>
      </c>
      <c r="H102" s="114" t="s">
        <v>138</v>
      </c>
      <c r="I102" s="81" t="s">
        <v>138</v>
      </c>
      <c r="J102" s="81" t="s">
        <v>138</v>
      </c>
      <c r="K102" s="81"/>
      <c r="L102" s="81" t="s">
        <v>138</v>
      </c>
      <c r="M102" s="81"/>
    </row>
    <row r="103" spans="1:13" s="74" customFormat="1" ht="48">
      <c r="A103" s="65" t="s">
        <v>56</v>
      </c>
      <c r="B103" s="66" t="s">
        <v>227</v>
      </c>
      <c r="C103" s="67" t="s">
        <v>228</v>
      </c>
      <c r="D103" s="68" t="s">
        <v>191</v>
      </c>
      <c r="E103" s="69"/>
      <c r="F103" s="112">
        <v>1522</v>
      </c>
      <c r="G103" s="71">
        <v>5</v>
      </c>
      <c r="H103" s="113" t="s">
        <v>138</v>
      </c>
      <c r="I103" s="72">
        <v>7610</v>
      </c>
      <c r="J103" s="72" t="s">
        <v>138</v>
      </c>
      <c r="K103" s="72">
        <v>7610</v>
      </c>
      <c r="L103" s="72" t="s">
        <v>138</v>
      </c>
      <c r="M103" s="73">
        <v>7610</v>
      </c>
    </row>
    <row r="104" spans="1:13" s="74" customFormat="1">
      <c r="A104" s="75"/>
      <c r="B104" s="76"/>
      <c r="C104" s="77"/>
      <c r="D104" s="78"/>
      <c r="E104" s="79"/>
      <c r="F104" s="78"/>
      <c r="G104" s="114" t="s">
        <v>138</v>
      </c>
      <c r="H104" s="114" t="s">
        <v>138</v>
      </c>
      <c r="I104" s="81" t="s">
        <v>138</v>
      </c>
      <c r="J104" s="81" t="s">
        <v>138</v>
      </c>
      <c r="K104" s="81"/>
      <c r="L104" s="81" t="s">
        <v>138</v>
      </c>
      <c r="M104" s="81"/>
    </row>
    <row r="105" spans="1:13" s="74" customFormat="1" ht="24">
      <c r="A105" s="65" t="s">
        <v>58</v>
      </c>
      <c r="B105" s="66" t="s">
        <v>229</v>
      </c>
      <c r="C105" s="67" t="s">
        <v>230</v>
      </c>
      <c r="D105" s="68" t="s">
        <v>137</v>
      </c>
      <c r="E105" s="69"/>
      <c r="F105" s="70">
        <v>4.7211200000000002E-2</v>
      </c>
      <c r="G105" s="71">
        <v>351330</v>
      </c>
      <c r="H105" s="71">
        <v>61550</v>
      </c>
      <c r="I105" s="72">
        <v>16587</v>
      </c>
      <c r="J105" s="72">
        <v>2906</v>
      </c>
      <c r="K105" s="72">
        <v>564</v>
      </c>
      <c r="L105" s="72" t="s">
        <v>138</v>
      </c>
      <c r="M105" s="73">
        <v>16587</v>
      </c>
    </row>
    <row r="106" spans="1:13" s="74" customFormat="1">
      <c r="A106" s="75"/>
      <c r="B106" s="76"/>
      <c r="C106" s="77"/>
      <c r="D106" s="78"/>
      <c r="E106" s="79"/>
      <c r="F106" s="78"/>
      <c r="G106" s="80">
        <v>277846</v>
      </c>
      <c r="H106" s="80">
        <v>17637</v>
      </c>
      <c r="I106" s="81">
        <v>13117</v>
      </c>
      <c r="J106" s="81">
        <v>833</v>
      </c>
      <c r="K106" s="81"/>
      <c r="L106" s="81" t="s">
        <v>138</v>
      </c>
      <c r="M106" s="81"/>
    </row>
    <row r="107" spans="1:13" s="43" customFormat="1" ht="21" hidden="1" outlineLevel="1">
      <c r="A107" s="82" t="s">
        <v>231</v>
      </c>
      <c r="B107" s="83" t="s">
        <v>181</v>
      </c>
      <c r="C107" s="84" t="s">
        <v>182</v>
      </c>
      <c r="D107" s="83" t="s">
        <v>142</v>
      </c>
      <c r="E107" s="85">
        <v>49.704000000000001</v>
      </c>
      <c r="F107" s="85">
        <v>2.3465850000000001</v>
      </c>
      <c r="G107" s="86">
        <v>5590</v>
      </c>
      <c r="H107" s="87"/>
      <c r="I107" s="88">
        <v>13117</v>
      </c>
      <c r="J107" s="88"/>
      <c r="K107" s="88"/>
      <c r="L107" s="89"/>
      <c r="M107" s="89"/>
    </row>
    <row r="108" spans="1:13" s="43" customFormat="1" hidden="1" outlineLevel="1">
      <c r="A108" s="82" t="s">
        <v>232</v>
      </c>
      <c r="B108" s="83" t="s">
        <v>34</v>
      </c>
      <c r="C108" s="84" t="s">
        <v>144</v>
      </c>
      <c r="D108" s="83" t="s">
        <v>142</v>
      </c>
      <c r="E108" s="85">
        <v>5.3360000000000003</v>
      </c>
      <c r="F108" s="85">
        <v>0.25190000000000001</v>
      </c>
      <c r="G108" s="89"/>
      <c r="H108" s="87"/>
      <c r="I108" s="88"/>
      <c r="J108" s="88"/>
      <c r="K108" s="88"/>
      <c r="L108" s="89"/>
      <c r="M108" s="89"/>
    </row>
    <row r="109" spans="1:13" s="43" customFormat="1" hidden="1" outlineLevel="1">
      <c r="A109" s="90" t="s">
        <v>233</v>
      </c>
      <c r="B109" s="91" t="s">
        <v>146</v>
      </c>
      <c r="C109" s="92" t="s">
        <v>147</v>
      </c>
      <c r="D109" s="91" t="s">
        <v>148</v>
      </c>
      <c r="E109" s="93">
        <v>20.0124</v>
      </c>
      <c r="F109" s="93">
        <v>0.94480900000000001</v>
      </c>
      <c r="G109" s="94"/>
      <c r="H109" s="95">
        <v>230</v>
      </c>
      <c r="I109" s="96"/>
      <c r="J109" s="96">
        <v>217</v>
      </c>
      <c r="K109" s="96"/>
      <c r="L109" s="97"/>
      <c r="M109" s="97"/>
    </row>
    <row r="110" spans="1:13" s="43" customFormat="1" ht="21" hidden="1" outlineLevel="1">
      <c r="A110" s="90" t="s">
        <v>234</v>
      </c>
      <c r="B110" s="91" t="s">
        <v>150</v>
      </c>
      <c r="C110" s="92" t="s">
        <v>151</v>
      </c>
      <c r="D110" s="91" t="s">
        <v>148</v>
      </c>
      <c r="E110" s="93">
        <v>2.66832</v>
      </c>
      <c r="F110" s="93">
        <v>0.125975</v>
      </c>
      <c r="G110" s="94"/>
      <c r="H110" s="95">
        <v>12979</v>
      </c>
      <c r="I110" s="96"/>
      <c r="J110" s="96">
        <v>1635</v>
      </c>
      <c r="K110" s="96"/>
      <c r="L110" s="97"/>
      <c r="M110" s="97"/>
    </row>
    <row r="111" spans="1:13" s="43" customFormat="1" hidden="1" outlineLevel="2">
      <c r="A111" s="98" t="s">
        <v>234</v>
      </c>
      <c r="B111" s="99"/>
      <c r="C111" s="100" t="s">
        <v>152</v>
      </c>
      <c r="D111" s="101" t="s">
        <v>142</v>
      </c>
      <c r="E111" s="102">
        <v>2.66832</v>
      </c>
      <c r="F111" s="102">
        <v>0.125975</v>
      </c>
      <c r="G111" s="103"/>
      <c r="H111" s="102">
        <v>3888</v>
      </c>
      <c r="I111" s="104"/>
      <c r="J111" s="104">
        <v>489.79</v>
      </c>
      <c r="K111" s="96"/>
      <c r="L111" s="97"/>
      <c r="M111" s="97"/>
    </row>
    <row r="112" spans="1:13" s="43" customFormat="1" hidden="1" outlineLevel="1">
      <c r="A112" s="90" t="s">
        <v>235</v>
      </c>
      <c r="B112" s="91" t="s">
        <v>154</v>
      </c>
      <c r="C112" s="92" t="s">
        <v>155</v>
      </c>
      <c r="D112" s="91" t="s">
        <v>148</v>
      </c>
      <c r="E112" s="93">
        <v>2.66832</v>
      </c>
      <c r="F112" s="93">
        <v>0.125975</v>
      </c>
      <c r="G112" s="94"/>
      <c r="H112" s="95">
        <v>8363</v>
      </c>
      <c r="I112" s="96"/>
      <c r="J112" s="96">
        <v>1054</v>
      </c>
      <c r="K112" s="96"/>
      <c r="L112" s="97"/>
      <c r="M112" s="97"/>
    </row>
    <row r="113" spans="1:13" s="43" customFormat="1" hidden="1" outlineLevel="2">
      <c r="A113" s="98" t="s">
        <v>235</v>
      </c>
      <c r="B113" s="99"/>
      <c r="C113" s="100" t="s">
        <v>152</v>
      </c>
      <c r="D113" s="101" t="s">
        <v>142</v>
      </c>
      <c r="E113" s="102">
        <v>2.66832</v>
      </c>
      <c r="F113" s="102">
        <v>0.125975</v>
      </c>
      <c r="G113" s="103"/>
      <c r="H113" s="102">
        <v>2722</v>
      </c>
      <c r="I113" s="104"/>
      <c r="J113" s="104">
        <v>342.9</v>
      </c>
      <c r="K113" s="96"/>
      <c r="L113" s="97"/>
      <c r="M113" s="97"/>
    </row>
    <row r="114" spans="1:13" s="43" customFormat="1" hidden="1" outlineLevel="1">
      <c r="A114" s="105" t="s">
        <v>236</v>
      </c>
      <c r="B114" s="106" t="s">
        <v>237</v>
      </c>
      <c r="C114" s="107" t="s">
        <v>238</v>
      </c>
      <c r="D114" s="106" t="s">
        <v>137</v>
      </c>
      <c r="E114" s="108">
        <v>9.0000000000000006E-5</v>
      </c>
      <c r="F114" s="108">
        <v>3.9999999999999998E-6</v>
      </c>
      <c r="G114" s="109">
        <v>24399</v>
      </c>
      <c r="H114" s="110"/>
      <c r="I114" s="111"/>
      <c r="J114" s="111"/>
      <c r="K114" s="111">
        <v>0.1</v>
      </c>
      <c r="L114" s="97"/>
      <c r="M114" s="97"/>
    </row>
    <row r="115" spans="1:13" s="43" customFormat="1" hidden="1" outlineLevel="1">
      <c r="A115" s="105" t="s">
        <v>239</v>
      </c>
      <c r="B115" s="106" t="s">
        <v>187</v>
      </c>
      <c r="C115" s="107" t="s">
        <v>188</v>
      </c>
      <c r="D115" s="106" t="s">
        <v>162</v>
      </c>
      <c r="E115" s="108">
        <v>7.8</v>
      </c>
      <c r="F115" s="108">
        <v>0.36824699999999999</v>
      </c>
      <c r="G115" s="109">
        <v>1293</v>
      </c>
      <c r="H115" s="110"/>
      <c r="I115" s="111"/>
      <c r="J115" s="111"/>
      <c r="K115" s="111">
        <v>476</v>
      </c>
      <c r="L115" s="97"/>
      <c r="M115" s="97"/>
    </row>
    <row r="116" spans="1:13" s="43" customFormat="1" ht="21" hidden="1" outlineLevel="1">
      <c r="A116" s="105" t="s">
        <v>240</v>
      </c>
      <c r="B116" s="106" t="s">
        <v>160</v>
      </c>
      <c r="C116" s="107" t="s">
        <v>161</v>
      </c>
      <c r="D116" s="106" t="s">
        <v>162</v>
      </c>
      <c r="E116" s="108">
        <v>1.52</v>
      </c>
      <c r="F116" s="108">
        <v>7.1761000000000005E-2</v>
      </c>
      <c r="G116" s="109">
        <v>1215</v>
      </c>
      <c r="H116" s="110"/>
      <c r="I116" s="111"/>
      <c r="J116" s="111"/>
      <c r="K116" s="111">
        <v>87</v>
      </c>
      <c r="L116" s="97"/>
      <c r="M116" s="97"/>
    </row>
    <row r="117" spans="1:13" s="74" customFormat="1" ht="48" collapsed="1">
      <c r="A117" s="65" t="s">
        <v>60</v>
      </c>
      <c r="B117" s="66" t="s">
        <v>241</v>
      </c>
      <c r="C117" s="67" t="s">
        <v>242</v>
      </c>
      <c r="D117" s="68" t="s">
        <v>243</v>
      </c>
      <c r="E117" s="69"/>
      <c r="F117" s="112">
        <v>16</v>
      </c>
      <c r="G117" s="71">
        <v>10002</v>
      </c>
      <c r="H117" s="71">
        <v>3058</v>
      </c>
      <c r="I117" s="72">
        <v>160032</v>
      </c>
      <c r="J117" s="72">
        <v>48928</v>
      </c>
      <c r="K117" s="72" t="s">
        <v>138</v>
      </c>
      <c r="L117" s="72" t="s">
        <v>138</v>
      </c>
      <c r="M117" s="73">
        <v>160032</v>
      </c>
    </row>
    <row r="118" spans="1:13" s="74" customFormat="1">
      <c r="A118" s="75"/>
      <c r="B118" s="76"/>
      <c r="C118" s="77"/>
      <c r="D118" s="78"/>
      <c r="E118" s="79"/>
      <c r="F118" s="78"/>
      <c r="G118" s="80">
        <v>6944</v>
      </c>
      <c r="H118" s="80">
        <v>964</v>
      </c>
      <c r="I118" s="81">
        <v>111104</v>
      </c>
      <c r="J118" s="81">
        <v>15424</v>
      </c>
      <c r="K118" s="81"/>
      <c r="L118" s="81" t="s">
        <v>138</v>
      </c>
      <c r="M118" s="81"/>
    </row>
    <row r="119" spans="1:13" s="43" customFormat="1" ht="31.5" hidden="1" outlineLevel="1">
      <c r="A119" s="82" t="s">
        <v>244</v>
      </c>
      <c r="B119" s="83" t="s">
        <v>245</v>
      </c>
      <c r="C119" s="84" t="s">
        <v>246</v>
      </c>
      <c r="D119" s="83" t="s">
        <v>142</v>
      </c>
      <c r="E119" s="85">
        <v>1.2819</v>
      </c>
      <c r="F119" s="85">
        <v>20.510400000000001</v>
      </c>
      <c r="G119" s="86">
        <v>5417</v>
      </c>
      <c r="H119" s="87"/>
      <c r="I119" s="88">
        <v>111105</v>
      </c>
      <c r="J119" s="88"/>
      <c r="K119" s="88"/>
      <c r="L119" s="89"/>
      <c r="M119" s="89"/>
    </row>
    <row r="120" spans="1:13" s="43" customFormat="1" hidden="1" outlineLevel="1">
      <c r="A120" s="82" t="s">
        <v>247</v>
      </c>
      <c r="B120" s="83" t="s">
        <v>34</v>
      </c>
      <c r="C120" s="84" t="s">
        <v>144</v>
      </c>
      <c r="D120" s="83" t="s">
        <v>142</v>
      </c>
      <c r="E120" s="85">
        <v>0.35399999999999998</v>
      </c>
      <c r="F120" s="85">
        <v>5.6639999999999997</v>
      </c>
      <c r="G120" s="89"/>
      <c r="H120" s="87"/>
      <c r="I120" s="88"/>
      <c r="J120" s="88"/>
      <c r="K120" s="88"/>
      <c r="L120" s="89"/>
      <c r="M120" s="89"/>
    </row>
    <row r="121" spans="1:13" s="43" customFormat="1" ht="21.75" hidden="1" outlineLevel="1">
      <c r="A121" s="90" t="s">
        <v>248</v>
      </c>
      <c r="B121" s="91" t="s">
        <v>249</v>
      </c>
      <c r="C121" s="92" t="s">
        <v>250</v>
      </c>
      <c r="D121" s="91" t="s">
        <v>148</v>
      </c>
      <c r="E121" s="93">
        <v>0.35427799999999998</v>
      </c>
      <c r="F121" s="93">
        <v>5.6684539999999997</v>
      </c>
      <c r="G121" s="94"/>
      <c r="H121" s="95">
        <v>8456</v>
      </c>
      <c r="I121" s="96"/>
      <c r="J121" s="96">
        <v>47932</v>
      </c>
      <c r="K121" s="96"/>
      <c r="L121" s="97"/>
      <c r="M121" s="97"/>
    </row>
    <row r="122" spans="1:13" s="43" customFormat="1" hidden="1" outlineLevel="2">
      <c r="A122" s="98" t="s">
        <v>248</v>
      </c>
      <c r="B122" s="99"/>
      <c r="C122" s="100" t="s">
        <v>152</v>
      </c>
      <c r="D122" s="101" t="s">
        <v>142</v>
      </c>
      <c r="E122" s="102">
        <v>0.35427799999999998</v>
      </c>
      <c r="F122" s="102">
        <v>5.6684539999999997</v>
      </c>
      <c r="G122" s="103"/>
      <c r="H122" s="102">
        <v>2722</v>
      </c>
      <c r="I122" s="104"/>
      <c r="J122" s="104">
        <v>15429.53</v>
      </c>
      <c r="K122" s="96"/>
      <c r="L122" s="97"/>
      <c r="M122" s="97"/>
    </row>
    <row r="123" spans="1:13" s="43" customFormat="1" ht="21" hidden="1" outlineLevel="1">
      <c r="A123" s="90" t="s">
        <v>251</v>
      </c>
      <c r="B123" s="91" t="s">
        <v>252</v>
      </c>
      <c r="C123" s="92" t="s">
        <v>253</v>
      </c>
      <c r="D123" s="91" t="s">
        <v>148</v>
      </c>
      <c r="E123" s="93">
        <v>0.708422</v>
      </c>
      <c r="F123" s="93">
        <v>11.334758000000001</v>
      </c>
      <c r="G123" s="94"/>
      <c r="H123" s="95">
        <v>87</v>
      </c>
      <c r="I123" s="96"/>
      <c r="J123" s="96">
        <v>986</v>
      </c>
      <c r="K123" s="96"/>
      <c r="L123" s="97"/>
      <c r="M123" s="97"/>
    </row>
    <row r="124" spans="1:13" s="74" customFormat="1" ht="36" collapsed="1">
      <c r="A124" s="65" t="s">
        <v>62</v>
      </c>
      <c r="B124" s="66" t="s">
        <v>254</v>
      </c>
      <c r="C124" s="67" t="s">
        <v>255</v>
      </c>
      <c r="D124" s="68" t="s">
        <v>137</v>
      </c>
      <c r="E124" s="69"/>
      <c r="F124" s="70">
        <v>6.3103999999999993E-2</v>
      </c>
      <c r="G124" s="71">
        <v>292148</v>
      </c>
      <c r="H124" s="71">
        <v>4253</v>
      </c>
      <c r="I124" s="72">
        <v>18436</v>
      </c>
      <c r="J124" s="72">
        <v>268</v>
      </c>
      <c r="K124" s="72">
        <v>89</v>
      </c>
      <c r="L124" s="72" t="s">
        <v>138</v>
      </c>
      <c r="M124" s="73">
        <v>18436</v>
      </c>
    </row>
    <row r="125" spans="1:13" s="74" customFormat="1">
      <c r="A125" s="75"/>
      <c r="B125" s="76"/>
      <c r="C125" s="77"/>
      <c r="D125" s="78"/>
      <c r="E125" s="79"/>
      <c r="F125" s="78"/>
      <c r="G125" s="80">
        <v>286494</v>
      </c>
      <c r="H125" s="80">
        <v>1488</v>
      </c>
      <c r="I125" s="81">
        <v>18079</v>
      </c>
      <c r="J125" s="81">
        <v>94</v>
      </c>
      <c r="K125" s="81"/>
      <c r="L125" s="81" t="s">
        <v>138</v>
      </c>
      <c r="M125" s="81"/>
    </row>
    <row r="126" spans="1:13" s="43" customFormat="1" ht="21" hidden="1" outlineLevel="1">
      <c r="A126" s="82" t="s">
        <v>256</v>
      </c>
      <c r="B126" s="83" t="s">
        <v>257</v>
      </c>
      <c r="C126" s="84" t="s">
        <v>258</v>
      </c>
      <c r="D126" s="83" t="s">
        <v>142</v>
      </c>
      <c r="E126" s="85">
        <v>57.552</v>
      </c>
      <c r="F126" s="85">
        <v>3.631761</v>
      </c>
      <c r="G126" s="86">
        <v>4978</v>
      </c>
      <c r="H126" s="87"/>
      <c r="I126" s="88">
        <v>18079</v>
      </c>
      <c r="J126" s="88"/>
      <c r="K126" s="88"/>
      <c r="L126" s="89"/>
      <c r="M126" s="89"/>
    </row>
    <row r="127" spans="1:13" s="43" customFormat="1" hidden="1" outlineLevel="1">
      <c r="A127" s="82" t="s">
        <v>259</v>
      </c>
      <c r="B127" s="83" t="s">
        <v>34</v>
      </c>
      <c r="C127" s="84" t="s">
        <v>144</v>
      </c>
      <c r="D127" s="83" t="s">
        <v>142</v>
      </c>
      <c r="E127" s="85">
        <v>0.628</v>
      </c>
      <c r="F127" s="85">
        <v>3.9600000000000003E-2</v>
      </c>
      <c r="G127" s="89"/>
      <c r="H127" s="87"/>
      <c r="I127" s="88"/>
      <c r="J127" s="88"/>
      <c r="K127" s="88"/>
      <c r="L127" s="89"/>
      <c r="M127" s="89"/>
    </row>
    <row r="128" spans="1:13" s="43" customFormat="1" hidden="1" outlineLevel="1">
      <c r="A128" s="90" t="s">
        <v>260</v>
      </c>
      <c r="B128" s="91" t="s">
        <v>261</v>
      </c>
      <c r="C128" s="92" t="s">
        <v>262</v>
      </c>
      <c r="D128" s="91" t="s">
        <v>148</v>
      </c>
      <c r="E128" s="93">
        <v>0.49703999999999998</v>
      </c>
      <c r="F128" s="93">
        <v>3.1364999999999997E-2</v>
      </c>
      <c r="G128" s="94"/>
      <c r="H128" s="95">
        <v>6096</v>
      </c>
      <c r="I128" s="96"/>
      <c r="J128" s="96">
        <v>191</v>
      </c>
      <c r="K128" s="96"/>
      <c r="L128" s="97"/>
      <c r="M128" s="97"/>
    </row>
    <row r="129" spans="1:13" s="43" customFormat="1" hidden="1" outlineLevel="2">
      <c r="A129" s="98" t="s">
        <v>260</v>
      </c>
      <c r="B129" s="99"/>
      <c r="C129" s="100" t="s">
        <v>152</v>
      </c>
      <c r="D129" s="101" t="s">
        <v>142</v>
      </c>
      <c r="E129" s="102">
        <v>0.49703999999999998</v>
      </c>
      <c r="F129" s="102">
        <v>3.1364999999999997E-2</v>
      </c>
      <c r="G129" s="103"/>
      <c r="H129" s="102">
        <v>2278</v>
      </c>
      <c r="I129" s="104"/>
      <c r="J129" s="104">
        <v>71.45</v>
      </c>
      <c r="K129" s="96"/>
      <c r="L129" s="97"/>
      <c r="M129" s="97"/>
    </row>
    <row r="130" spans="1:13" s="43" customFormat="1" hidden="1" outlineLevel="1">
      <c r="A130" s="90" t="s">
        <v>263</v>
      </c>
      <c r="B130" s="91" t="s">
        <v>146</v>
      </c>
      <c r="C130" s="92" t="s">
        <v>147</v>
      </c>
      <c r="D130" s="91" t="s">
        <v>148</v>
      </c>
      <c r="E130" s="93">
        <v>0.56244000000000005</v>
      </c>
      <c r="F130" s="93">
        <v>3.5492000000000003E-2</v>
      </c>
      <c r="G130" s="94"/>
      <c r="H130" s="95">
        <v>230</v>
      </c>
      <c r="I130" s="96"/>
      <c r="J130" s="96">
        <v>8</v>
      </c>
      <c r="K130" s="96"/>
      <c r="L130" s="97"/>
      <c r="M130" s="97"/>
    </row>
    <row r="131" spans="1:13" s="43" customFormat="1" hidden="1" outlineLevel="1">
      <c r="A131" s="90" t="s">
        <v>264</v>
      </c>
      <c r="B131" s="91" t="s">
        <v>154</v>
      </c>
      <c r="C131" s="92" t="s">
        <v>155</v>
      </c>
      <c r="D131" s="91" t="s">
        <v>148</v>
      </c>
      <c r="E131" s="93">
        <v>0.1308</v>
      </c>
      <c r="F131" s="93">
        <v>8.2539999999999992E-3</v>
      </c>
      <c r="G131" s="94"/>
      <c r="H131" s="95">
        <v>8363</v>
      </c>
      <c r="I131" s="96"/>
      <c r="J131" s="96">
        <v>69</v>
      </c>
      <c r="K131" s="96"/>
      <c r="L131" s="97"/>
      <c r="M131" s="97"/>
    </row>
    <row r="132" spans="1:13" s="43" customFormat="1" hidden="1" outlineLevel="2">
      <c r="A132" s="98" t="s">
        <v>264</v>
      </c>
      <c r="B132" s="99"/>
      <c r="C132" s="100" t="s">
        <v>152</v>
      </c>
      <c r="D132" s="101" t="s">
        <v>142</v>
      </c>
      <c r="E132" s="102">
        <v>0.1308</v>
      </c>
      <c r="F132" s="102">
        <v>8.2539999999999992E-3</v>
      </c>
      <c r="G132" s="103"/>
      <c r="H132" s="102">
        <v>2722</v>
      </c>
      <c r="I132" s="104"/>
      <c r="J132" s="104">
        <v>22.47</v>
      </c>
      <c r="K132" s="96"/>
      <c r="L132" s="97"/>
      <c r="M132" s="97"/>
    </row>
    <row r="133" spans="1:13" s="43" customFormat="1" hidden="1" outlineLevel="1">
      <c r="A133" s="105" t="s">
        <v>265</v>
      </c>
      <c r="B133" s="106" t="s">
        <v>266</v>
      </c>
      <c r="C133" s="107" t="s">
        <v>267</v>
      </c>
      <c r="D133" s="106" t="s">
        <v>137</v>
      </c>
      <c r="E133" s="108">
        <v>5.1000000000000004E-3</v>
      </c>
      <c r="F133" s="108">
        <v>3.2200000000000002E-4</v>
      </c>
      <c r="G133" s="109">
        <v>274757</v>
      </c>
      <c r="H133" s="110"/>
      <c r="I133" s="111"/>
      <c r="J133" s="111"/>
      <c r="K133" s="111">
        <v>88</v>
      </c>
      <c r="L133" s="97"/>
      <c r="M133" s="97"/>
    </row>
    <row r="134" spans="1:13" s="74" customFormat="1" ht="48" collapsed="1">
      <c r="A134" s="65" t="s">
        <v>64</v>
      </c>
      <c r="B134" s="66" t="s">
        <v>268</v>
      </c>
      <c r="C134" s="67" t="s">
        <v>269</v>
      </c>
      <c r="D134" s="68" t="s">
        <v>137</v>
      </c>
      <c r="E134" s="69"/>
      <c r="F134" s="70">
        <v>7.8880000000000006E-2</v>
      </c>
      <c r="G134" s="71">
        <v>462591</v>
      </c>
      <c r="H134" s="113" t="s">
        <v>138</v>
      </c>
      <c r="I134" s="72">
        <v>36489</v>
      </c>
      <c r="J134" s="72" t="s">
        <v>138</v>
      </c>
      <c r="K134" s="72">
        <v>36489</v>
      </c>
      <c r="L134" s="72" t="s">
        <v>138</v>
      </c>
      <c r="M134" s="73">
        <v>36489</v>
      </c>
    </row>
    <row r="135" spans="1:13" s="74" customFormat="1">
      <c r="A135" s="75"/>
      <c r="B135" s="76"/>
      <c r="C135" s="77"/>
      <c r="D135" s="78"/>
      <c r="E135" s="79"/>
      <c r="F135" s="78"/>
      <c r="G135" s="114" t="s">
        <v>138</v>
      </c>
      <c r="H135" s="114" t="s">
        <v>138</v>
      </c>
      <c r="I135" s="81" t="s">
        <v>138</v>
      </c>
      <c r="J135" s="81" t="s">
        <v>138</v>
      </c>
      <c r="K135" s="81"/>
      <c r="L135" s="81" t="s">
        <v>138</v>
      </c>
      <c r="M135" s="81"/>
    </row>
    <row r="136" spans="1:13" s="74" customFormat="1" ht="48">
      <c r="A136" s="65" t="s">
        <v>66</v>
      </c>
      <c r="B136" s="66" t="s">
        <v>270</v>
      </c>
      <c r="C136" s="67" t="s">
        <v>271</v>
      </c>
      <c r="D136" s="68" t="s">
        <v>137</v>
      </c>
      <c r="E136" s="69"/>
      <c r="F136" s="70">
        <v>3.1435200000000003E-2</v>
      </c>
      <c r="G136" s="71">
        <v>335553</v>
      </c>
      <c r="H136" s="113" t="s">
        <v>138</v>
      </c>
      <c r="I136" s="72">
        <v>10548</v>
      </c>
      <c r="J136" s="72" t="s">
        <v>138</v>
      </c>
      <c r="K136" s="72">
        <v>10548</v>
      </c>
      <c r="L136" s="72" t="s">
        <v>138</v>
      </c>
      <c r="M136" s="73">
        <v>10548</v>
      </c>
    </row>
    <row r="137" spans="1:13" s="74" customFormat="1">
      <c r="A137" s="75"/>
      <c r="B137" s="76"/>
      <c r="C137" s="77"/>
      <c r="D137" s="78"/>
      <c r="E137" s="79"/>
      <c r="F137" s="78"/>
      <c r="G137" s="114" t="s">
        <v>138</v>
      </c>
      <c r="H137" s="114" t="s">
        <v>138</v>
      </c>
      <c r="I137" s="81" t="s">
        <v>138</v>
      </c>
      <c r="J137" s="81" t="s">
        <v>138</v>
      </c>
      <c r="K137" s="81"/>
      <c r="L137" s="81" t="s">
        <v>138</v>
      </c>
      <c r="M137" s="81"/>
    </row>
    <row r="138" spans="1:13" s="74" customFormat="1" ht="36">
      <c r="A138" s="65" t="s">
        <v>68</v>
      </c>
      <c r="B138" s="66" t="s">
        <v>272</v>
      </c>
      <c r="C138" s="67" t="s">
        <v>273</v>
      </c>
      <c r="D138" s="68" t="s">
        <v>274</v>
      </c>
      <c r="E138" s="69"/>
      <c r="F138" s="112">
        <v>16</v>
      </c>
      <c r="G138" s="71">
        <v>2145</v>
      </c>
      <c r="H138" s="71">
        <v>561</v>
      </c>
      <c r="I138" s="72">
        <v>34320</v>
      </c>
      <c r="J138" s="72">
        <v>8976</v>
      </c>
      <c r="K138" s="72">
        <v>416</v>
      </c>
      <c r="L138" s="72" t="s">
        <v>138</v>
      </c>
      <c r="M138" s="73">
        <v>34320</v>
      </c>
    </row>
    <row r="139" spans="1:13" s="74" customFormat="1">
      <c r="A139" s="75"/>
      <c r="B139" s="76"/>
      <c r="C139" s="77"/>
      <c r="D139" s="78"/>
      <c r="E139" s="79"/>
      <c r="F139" s="78"/>
      <c r="G139" s="80">
        <v>1558</v>
      </c>
      <c r="H139" s="80">
        <v>174</v>
      </c>
      <c r="I139" s="81">
        <v>24928</v>
      </c>
      <c r="J139" s="81">
        <v>2784</v>
      </c>
      <c r="K139" s="81"/>
      <c r="L139" s="81" t="s">
        <v>138</v>
      </c>
      <c r="M139" s="81"/>
    </row>
    <row r="140" spans="1:13" s="43" customFormat="1" ht="21" hidden="1" outlineLevel="1">
      <c r="A140" s="82" t="s">
        <v>275</v>
      </c>
      <c r="B140" s="83" t="s">
        <v>140</v>
      </c>
      <c r="C140" s="84" t="s">
        <v>141</v>
      </c>
      <c r="D140" s="83" t="s">
        <v>142</v>
      </c>
      <c r="E140" s="85">
        <v>0.2878</v>
      </c>
      <c r="F140" s="85">
        <v>4.6048</v>
      </c>
      <c r="G140" s="86">
        <v>5412</v>
      </c>
      <c r="H140" s="87"/>
      <c r="I140" s="88">
        <v>24921</v>
      </c>
      <c r="J140" s="88"/>
      <c r="K140" s="88"/>
      <c r="L140" s="89"/>
      <c r="M140" s="89"/>
    </row>
    <row r="141" spans="1:13" s="43" customFormat="1" hidden="1" outlineLevel="1">
      <c r="A141" s="82" t="s">
        <v>276</v>
      </c>
      <c r="B141" s="83" t="s">
        <v>34</v>
      </c>
      <c r="C141" s="84" t="s">
        <v>144</v>
      </c>
      <c r="D141" s="83" t="s">
        <v>142</v>
      </c>
      <c r="E141" s="85">
        <v>5.1999999999999998E-2</v>
      </c>
      <c r="F141" s="85">
        <v>0.83199999999999996</v>
      </c>
      <c r="G141" s="89"/>
      <c r="H141" s="87"/>
      <c r="I141" s="88"/>
      <c r="J141" s="88"/>
      <c r="K141" s="88"/>
      <c r="L141" s="89"/>
      <c r="M141" s="89"/>
    </row>
    <row r="142" spans="1:13" s="43" customFormat="1" ht="21" hidden="1" outlineLevel="1">
      <c r="A142" s="90" t="s">
        <v>277</v>
      </c>
      <c r="B142" s="91" t="s">
        <v>150</v>
      </c>
      <c r="C142" s="92" t="s">
        <v>151</v>
      </c>
      <c r="D142" s="91" t="s">
        <v>148</v>
      </c>
      <c r="E142" s="93">
        <v>2.6290999999999998E-2</v>
      </c>
      <c r="F142" s="93">
        <v>0.420653</v>
      </c>
      <c r="G142" s="94"/>
      <c r="H142" s="95">
        <v>12979</v>
      </c>
      <c r="I142" s="96"/>
      <c r="J142" s="96">
        <v>5460</v>
      </c>
      <c r="K142" s="96"/>
      <c r="L142" s="97"/>
      <c r="M142" s="97"/>
    </row>
    <row r="143" spans="1:13" s="43" customFormat="1" hidden="1" outlineLevel="2">
      <c r="A143" s="98" t="s">
        <v>277</v>
      </c>
      <c r="B143" s="99"/>
      <c r="C143" s="100" t="s">
        <v>152</v>
      </c>
      <c r="D143" s="101" t="s">
        <v>142</v>
      </c>
      <c r="E143" s="102">
        <v>2.6290999999999998E-2</v>
      </c>
      <c r="F143" s="102">
        <v>0.420653</v>
      </c>
      <c r="G143" s="103"/>
      <c r="H143" s="102">
        <v>3888</v>
      </c>
      <c r="I143" s="104"/>
      <c r="J143" s="104">
        <v>1635.5</v>
      </c>
      <c r="K143" s="96"/>
      <c r="L143" s="97"/>
      <c r="M143" s="97"/>
    </row>
    <row r="144" spans="1:13" s="43" customFormat="1" hidden="1" outlineLevel="1">
      <c r="A144" s="90" t="s">
        <v>278</v>
      </c>
      <c r="B144" s="91" t="s">
        <v>154</v>
      </c>
      <c r="C144" s="92" t="s">
        <v>155</v>
      </c>
      <c r="D144" s="91" t="s">
        <v>148</v>
      </c>
      <c r="E144" s="93">
        <v>2.6290999999999998E-2</v>
      </c>
      <c r="F144" s="93">
        <v>0.420653</v>
      </c>
      <c r="G144" s="94"/>
      <c r="H144" s="95">
        <v>8363</v>
      </c>
      <c r="I144" s="96"/>
      <c r="J144" s="96">
        <v>3518</v>
      </c>
      <c r="K144" s="96"/>
      <c r="L144" s="97"/>
      <c r="M144" s="97"/>
    </row>
    <row r="145" spans="1:13" s="43" customFormat="1" hidden="1" outlineLevel="2">
      <c r="A145" s="98" t="s">
        <v>278</v>
      </c>
      <c r="B145" s="99"/>
      <c r="C145" s="100" t="s">
        <v>152</v>
      </c>
      <c r="D145" s="101" t="s">
        <v>142</v>
      </c>
      <c r="E145" s="102">
        <v>2.6290999999999998E-2</v>
      </c>
      <c r="F145" s="102">
        <v>0.420653</v>
      </c>
      <c r="G145" s="103"/>
      <c r="H145" s="102">
        <v>2722</v>
      </c>
      <c r="I145" s="104"/>
      <c r="J145" s="104">
        <v>1145.02</v>
      </c>
      <c r="K145" s="96"/>
      <c r="L145" s="97"/>
      <c r="M145" s="97"/>
    </row>
    <row r="146" spans="1:13" s="43" customFormat="1" hidden="1" outlineLevel="1">
      <c r="A146" s="105" t="s">
        <v>279</v>
      </c>
      <c r="B146" s="106" t="s">
        <v>280</v>
      </c>
      <c r="C146" s="107" t="s">
        <v>281</v>
      </c>
      <c r="D146" s="106" t="s">
        <v>162</v>
      </c>
      <c r="E146" s="108">
        <v>0.19800000000000001</v>
      </c>
      <c r="F146" s="108">
        <v>3.1680000000000001</v>
      </c>
      <c r="G146" s="109">
        <v>129</v>
      </c>
      <c r="H146" s="110"/>
      <c r="I146" s="111"/>
      <c r="J146" s="111"/>
      <c r="K146" s="111">
        <v>409</v>
      </c>
      <c r="L146" s="97"/>
      <c r="M146" s="97"/>
    </row>
    <row r="147" spans="1:13" s="74" customFormat="1" ht="36" collapsed="1">
      <c r="A147" s="65" t="s">
        <v>70</v>
      </c>
      <c r="B147" s="66" t="s">
        <v>282</v>
      </c>
      <c r="C147" s="67" t="s">
        <v>283</v>
      </c>
      <c r="D147" s="68" t="s">
        <v>179</v>
      </c>
      <c r="E147" s="69"/>
      <c r="F147" s="112">
        <v>32</v>
      </c>
      <c r="G147" s="115">
        <v>43467.48</v>
      </c>
      <c r="H147" s="113" t="s">
        <v>138</v>
      </c>
      <c r="I147" s="72">
        <v>1390959</v>
      </c>
      <c r="J147" s="72" t="s">
        <v>138</v>
      </c>
      <c r="K147" s="72">
        <v>1390959</v>
      </c>
      <c r="L147" s="72" t="s">
        <v>138</v>
      </c>
      <c r="M147" s="73">
        <v>1390959</v>
      </c>
    </row>
    <row r="148" spans="1:13" s="74" customFormat="1">
      <c r="A148" s="75"/>
      <c r="B148" s="76"/>
      <c r="C148" s="77"/>
      <c r="D148" s="78"/>
      <c r="E148" s="79"/>
      <c r="F148" s="78"/>
      <c r="G148" s="114" t="s">
        <v>138</v>
      </c>
      <c r="H148" s="114" t="s">
        <v>138</v>
      </c>
      <c r="I148" s="81" t="s">
        <v>138</v>
      </c>
      <c r="J148" s="81" t="s">
        <v>138</v>
      </c>
      <c r="K148" s="81"/>
      <c r="L148" s="81" t="s">
        <v>138</v>
      </c>
      <c r="M148" s="81"/>
    </row>
    <row r="149" spans="1:13" s="74" customFormat="1" ht="36">
      <c r="A149" s="65" t="s">
        <v>72</v>
      </c>
      <c r="B149" s="66" t="s">
        <v>284</v>
      </c>
      <c r="C149" s="67" t="s">
        <v>285</v>
      </c>
      <c r="D149" s="68" t="s">
        <v>165</v>
      </c>
      <c r="E149" s="69"/>
      <c r="F149" s="70">
        <v>27.2</v>
      </c>
      <c r="G149" s="71">
        <v>1799</v>
      </c>
      <c r="H149" s="71">
        <v>581</v>
      </c>
      <c r="I149" s="72">
        <v>48933</v>
      </c>
      <c r="J149" s="72">
        <v>15804</v>
      </c>
      <c r="K149" s="72">
        <v>3372</v>
      </c>
      <c r="L149" s="72" t="s">
        <v>138</v>
      </c>
      <c r="M149" s="73">
        <v>48933</v>
      </c>
    </row>
    <row r="150" spans="1:13" s="74" customFormat="1">
      <c r="A150" s="75"/>
      <c r="B150" s="76"/>
      <c r="C150" s="77"/>
      <c r="D150" s="78"/>
      <c r="E150" s="79"/>
      <c r="F150" s="78"/>
      <c r="G150" s="80">
        <v>1094</v>
      </c>
      <c r="H150" s="80">
        <v>138</v>
      </c>
      <c r="I150" s="81">
        <v>29757</v>
      </c>
      <c r="J150" s="81">
        <v>3754</v>
      </c>
      <c r="K150" s="81"/>
      <c r="L150" s="81" t="s">
        <v>138</v>
      </c>
      <c r="M150" s="81"/>
    </row>
    <row r="151" spans="1:13" s="43" customFormat="1" ht="21" hidden="1" outlineLevel="1">
      <c r="A151" s="82" t="s">
        <v>286</v>
      </c>
      <c r="B151" s="83" t="s">
        <v>287</v>
      </c>
      <c r="C151" s="84" t="s">
        <v>288</v>
      </c>
      <c r="D151" s="83" t="s">
        <v>142</v>
      </c>
      <c r="E151" s="85">
        <v>0.2177</v>
      </c>
      <c r="F151" s="85">
        <v>5.9214399999999996</v>
      </c>
      <c r="G151" s="86">
        <v>5026</v>
      </c>
      <c r="H151" s="87"/>
      <c r="I151" s="88">
        <v>29761</v>
      </c>
      <c r="J151" s="88"/>
      <c r="K151" s="88"/>
      <c r="L151" s="89"/>
      <c r="M151" s="89"/>
    </row>
    <row r="152" spans="1:13" s="43" customFormat="1" hidden="1" outlineLevel="1">
      <c r="A152" s="82" t="s">
        <v>289</v>
      </c>
      <c r="B152" s="83" t="s">
        <v>34</v>
      </c>
      <c r="C152" s="84" t="s">
        <v>144</v>
      </c>
      <c r="D152" s="83" t="s">
        <v>142</v>
      </c>
      <c r="E152" s="85">
        <v>0.05</v>
      </c>
      <c r="F152" s="85">
        <v>1.36</v>
      </c>
      <c r="G152" s="89"/>
      <c r="H152" s="87"/>
      <c r="I152" s="88"/>
      <c r="J152" s="88"/>
      <c r="K152" s="88"/>
      <c r="L152" s="89"/>
      <c r="M152" s="89"/>
    </row>
    <row r="153" spans="1:13" s="43" customFormat="1" hidden="1" outlineLevel="1">
      <c r="A153" s="90" t="s">
        <v>290</v>
      </c>
      <c r="B153" s="91" t="s">
        <v>291</v>
      </c>
      <c r="C153" s="92" t="s">
        <v>292</v>
      </c>
      <c r="D153" s="91" t="s">
        <v>148</v>
      </c>
      <c r="E153" s="93">
        <v>4.93248</v>
      </c>
      <c r="F153" s="93">
        <v>134.163456</v>
      </c>
      <c r="G153" s="94"/>
      <c r="H153" s="95">
        <v>31</v>
      </c>
      <c r="I153" s="96"/>
      <c r="J153" s="96">
        <v>4159</v>
      </c>
      <c r="K153" s="96"/>
      <c r="L153" s="97"/>
      <c r="M153" s="97"/>
    </row>
    <row r="154" spans="1:13" s="43" customFormat="1" ht="21.75" hidden="1" outlineLevel="1">
      <c r="A154" s="90" t="s">
        <v>293</v>
      </c>
      <c r="B154" s="91" t="s">
        <v>249</v>
      </c>
      <c r="C154" s="92" t="s">
        <v>250</v>
      </c>
      <c r="D154" s="91" t="s">
        <v>148</v>
      </c>
      <c r="E154" s="93">
        <v>4.9325000000000001E-2</v>
      </c>
      <c r="F154" s="93">
        <v>1.3416349999999999</v>
      </c>
      <c r="G154" s="94"/>
      <c r="H154" s="95">
        <v>8456</v>
      </c>
      <c r="I154" s="96"/>
      <c r="J154" s="96">
        <v>11345</v>
      </c>
      <c r="K154" s="96"/>
      <c r="L154" s="97"/>
      <c r="M154" s="97"/>
    </row>
    <row r="155" spans="1:13" s="43" customFormat="1" hidden="1" outlineLevel="2">
      <c r="A155" s="98" t="s">
        <v>293</v>
      </c>
      <c r="B155" s="99"/>
      <c r="C155" s="100" t="s">
        <v>152</v>
      </c>
      <c r="D155" s="101" t="s">
        <v>142</v>
      </c>
      <c r="E155" s="102">
        <v>4.9325000000000001E-2</v>
      </c>
      <c r="F155" s="102">
        <v>1.3416349999999999</v>
      </c>
      <c r="G155" s="103"/>
      <c r="H155" s="102">
        <v>2722</v>
      </c>
      <c r="I155" s="104"/>
      <c r="J155" s="104">
        <v>3651.93</v>
      </c>
      <c r="K155" s="96"/>
      <c r="L155" s="97"/>
      <c r="M155" s="97"/>
    </row>
    <row r="156" spans="1:13" s="43" customFormat="1" hidden="1" outlineLevel="1">
      <c r="A156" s="90" t="s">
        <v>294</v>
      </c>
      <c r="B156" s="91" t="s">
        <v>154</v>
      </c>
      <c r="C156" s="92" t="s">
        <v>155</v>
      </c>
      <c r="D156" s="91" t="s">
        <v>148</v>
      </c>
      <c r="E156" s="93">
        <v>1.3439999999999999E-3</v>
      </c>
      <c r="F156" s="93">
        <v>3.6556999999999999E-2</v>
      </c>
      <c r="G156" s="94"/>
      <c r="H156" s="95">
        <v>8363</v>
      </c>
      <c r="I156" s="96"/>
      <c r="J156" s="96">
        <v>306</v>
      </c>
      <c r="K156" s="96"/>
      <c r="L156" s="97"/>
      <c r="M156" s="97"/>
    </row>
    <row r="157" spans="1:13" s="43" customFormat="1" hidden="1" outlineLevel="2">
      <c r="A157" s="98" t="s">
        <v>294</v>
      </c>
      <c r="B157" s="99"/>
      <c r="C157" s="100" t="s">
        <v>152</v>
      </c>
      <c r="D157" s="101" t="s">
        <v>142</v>
      </c>
      <c r="E157" s="102">
        <v>1.3439999999999999E-3</v>
      </c>
      <c r="F157" s="102">
        <v>3.6556999999999999E-2</v>
      </c>
      <c r="G157" s="103"/>
      <c r="H157" s="102">
        <v>2722</v>
      </c>
      <c r="I157" s="104"/>
      <c r="J157" s="104">
        <v>99.51</v>
      </c>
      <c r="K157" s="96"/>
      <c r="L157" s="97"/>
      <c r="M157" s="97"/>
    </row>
    <row r="158" spans="1:13" s="43" customFormat="1" ht="21" hidden="1" outlineLevel="1">
      <c r="A158" s="105" t="s">
        <v>295</v>
      </c>
      <c r="B158" s="106" t="s">
        <v>296</v>
      </c>
      <c r="C158" s="107" t="s">
        <v>297</v>
      </c>
      <c r="D158" s="106" t="s">
        <v>162</v>
      </c>
      <c r="E158" s="108">
        <v>0.20899999999999999</v>
      </c>
      <c r="F158" s="108">
        <v>5.6848000000000001</v>
      </c>
      <c r="G158" s="109">
        <v>593</v>
      </c>
      <c r="H158" s="110"/>
      <c r="I158" s="111"/>
      <c r="J158" s="111"/>
      <c r="K158" s="111">
        <v>3371</v>
      </c>
      <c r="L158" s="97"/>
      <c r="M158" s="97"/>
    </row>
    <row r="159" spans="1:13" s="74" customFormat="1" ht="36" collapsed="1">
      <c r="A159" s="65" t="s">
        <v>74</v>
      </c>
      <c r="B159" s="66" t="s">
        <v>282</v>
      </c>
      <c r="C159" s="67" t="s">
        <v>298</v>
      </c>
      <c r="D159" s="68" t="s">
        <v>162</v>
      </c>
      <c r="E159" s="69"/>
      <c r="F159" s="112">
        <v>80</v>
      </c>
      <c r="G159" s="115">
        <v>10452.27</v>
      </c>
      <c r="H159" s="113" t="s">
        <v>138</v>
      </c>
      <c r="I159" s="72">
        <v>836182</v>
      </c>
      <c r="J159" s="72" t="s">
        <v>138</v>
      </c>
      <c r="K159" s="72">
        <v>836182</v>
      </c>
      <c r="L159" s="72" t="s">
        <v>138</v>
      </c>
      <c r="M159" s="73">
        <v>836182</v>
      </c>
    </row>
    <row r="160" spans="1:13" s="74" customFormat="1">
      <c r="A160" s="75"/>
      <c r="B160" s="76"/>
      <c r="C160" s="77"/>
      <c r="D160" s="78"/>
      <c r="E160" s="79"/>
      <c r="F160" s="78"/>
      <c r="G160" s="114" t="s">
        <v>138</v>
      </c>
      <c r="H160" s="114" t="s">
        <v>138</v>
      </c>
      <c r="I160" s="81" t="s">
        <v>138</v>
      </c>
      <c r="J160" s="81" t="s">
        <v>138</v>
      </c>
      <c r="K160" s="81"/>
      <c r="L160" s="81" t="s">
        <v>138</v>
      </c>
      <c r="M160" s="81"/>
    </row>
    <row r="161" spans="1:13" s="74" customFormat="1" ht="48">
      <c r="A161" s="65" t="s">
        <v>76</v>
      </c>
      <c r="B161" s="66" t="s">
        <v>135</v>
      </c>
      <c r="C161" s="67" t="s">
        <v>299</v>
      </c>
      <c r="D161" s="68" t="s">
        <v>137</v>
      </c>
      <c r="E161" s="69"/>
      <c r="F161" s="70">
        <v>0.48749999999999999</v>
      </c>
      <c r="G161" s="71">
        <v>458904</v>
      </c>
      <c r="H161" s="71">
        <v>47489</v>
      </c>
      <c r="I161" s="72">
        <v>223716</v>
      </c>
      <c r="J161" s="72">
        <v>23151</v>
      </c>
      <c r="K161" s="72">
        <v>3860</v>
      </c>
      <c r="L161" s="72" t="s">
        <v>138</v>
      </c>
      <c r="M161" s="73">
        <v>223716</v>
      </c>
    </row>
    <row r="162" spans="1:13" s="74" customFormat="1" ht="13.5" thickBot="1">
      <c r="A162" s="75"/>
      <c r="B162" s="76"/>
      <c r="C162" s="77"/>
      <c r="D162" s="78"/>
      <c r="E162" s="79"/>
      <c r="F162" s="78"/>
      <c r="G162" s="80">
        <v>403497</v>
      </c>
      <c r="H162" s="80">
        <v>13487</v>
      </c>
      <c r="I162" s="81">
        <v>196705</v>
      </c>
      <c r="J162" s="81">
        <v>6575</v>
      </c>
      <c r="K162" s="81"/>
      <c r="L162" s="81" t="s">
        <v>138</v>
      </c>
      <c r="M162" s="81"/>
    </row>
    <row r="163" spans="1:13" s="43" customFormat="1" ht="21" hidden="1" outlineLevel="1">
      <c r="A163" s="82" t="s">
        <v>300</v>
      </c>
      <c r="B163" s="83" t="s">
        <v>140</v>
      </c>
      <c r="C163" s="84" t="s">
        <v>141</v>
      </c>
      <c r="D163" s="83" t="s">
        <v>142</v>
      </c>
      <c r="E163" s="85">
        <v>74.555999999999997</v>
      </c>
      <c r="F163" s="85">
        <v>36.346049999999998</v>
      </c>
      <c r="G163" s="86">
        <v>5412</v>
      </c>
      <c r="H163" s="87"/>
      <c r="I163" s="88">
        <v>196705</v>
      </c>
      <c r="J163" s="88"/>
      <c r="K163" s="88"/>
      <c r="L163" s="89"/>
      <c r="M163" s="89"/>
    </row>
    <row r="164" spans="1:13" s="43" customFormat="1" hidden="1" outlineLevel="1">
      <c r="A164" s="82" t="s">
        <v>301</v>
      </c>
      <c r="B164" s="83" t="s">
        <v>34</v>
      </c>
      <c r="C164" s="84" t="s">
        <v>144</v>
      </c>
      <c r="D164" s="83" t="s">
        <v>142</v>
      </c>
      <c r="E164" s="85">
        <v>4.08</v>
      </c>
      <c r="F164" s="85">
        <v>1.9890000000000001</v>
      </c>
      <c r="G164" s="89"/>
      <c r="H164" s="87"/>
      <c r="I164" s="88"/>
      <c r="J164" s="88"/>
      <c r="K164" s="88"/>
      <c r="L164" s="89"/>
      <c r="M164" s="89"/>
    </row>
    <row r="165" spans="1:13" s="43" customFormat="1" hidden="1" outlineLevel="1">
      <c r="A165" s="90" t="s">
        <v>302</v>
      </c>
      <c r="B165" s="91" t="s">
        <v>146</v>
      </c>
      <c r="C165" s="92" t="s">
        <v>147</v>
      </c>
      <c r="D165" s="91" t="s">
        <v>148</v>
      </c>
      <c r="E165" s="93">
        <v>17.134799999999998</v>
      </c>
      <c r="F165" s="93">
        <v>8.3532150000000005</v>
      </c>
      <c r="G165" s="94"/>
      <c r="H165" s="95">
        <v>230</v>
      </c>
      <c r="I165" s="96"/>
      <c r="J165" s="96">
        <v>1921</v>
      </c>
      <c r="K165" s="96"/>
      <c r="L165" s="97"/>
      <c r="M165" s="97"/>
    </row>
    <row r="166" spans="1:13" s="43" customFormat="1" ht="21" hidden="1" outlineLevel="1">
      <c r="A166" s="90" t="s">
        <v>303</v>
      </c>
      <c r="B166" s="91" t="s">
        <v>150</v>
      </c>
      <c r="C166" s="92" t="s">
        <v>151</v>
      </c>
      <c r="D166" s="91" t="s">
        <v>148</v>
      </c>
      <c r="E166" s="93">
        <v>2.0404800000000001</v>
      </c>
      <c r="F166" s="93">
        <v>0.99473400000000001</v>
      </c>
      <c r="G166" s="94"/>
      <c r="H166" s="95">
        <v>12979</v>
      </c>
      <c r="I166" s="96"/>
      <c r="J166" s="96">
        <v>12911</v>
      </c>
      <c r="K166" s="96"/>
      <c r="L166" s="97"/>
      <c r="M166" s="97"/>
    </row>
    <row r="167" spans="1:13" s="43" customFormat="1" hidden="1" outlineLevel="2">
      <c r="A167" s="98" t="s">
        <v>303</v>
      </c>
      <c r="B167" s="99"/>
      <c r="C167" s="100" t="s">
        <v>152</v>
      </c>
      <c r="D167" s="101" t="s">
        <v>142</v>
      </c>
      <c r="E167" s="102">
        <v>2.0404800000000001</v>
      </c>
      <c r="F167" s="102">
        <v>0.99473400000000001</v>
      </c>
      <c r="G167" s="103"/>
      <c r="H167" s="102">
        <v>3888</v>
      </c>
      <c r="I167" s="104"/>
      <c r="J167" s="104">
        <v>3867.53</v>
      </c>
      <c r="K167" s="96"/>
      <c r="L167" s="97"/>
      <c r="M167" s="97"/>
    </row>
    <row r="168" spans="1:13" s="43" customFormat="1" hidden="1" outlineLevel="1">
      <c r="A168" s="90" t="s">
        <v>304</v>
      </c>
      <c r="B168" s="91" t="s">
        <v>154</v>
      </c>
      <c r="C168" s="92" t="s">
        <v>155</v>
      </c>
      <c r="D168" s="91" t="s">
        <v>148</v>
      </c>
      <c r="E168" s="93">
        <v>2.0404800000000001</v>
      </c>
      <c r="F168" s="93">
        <v>0.99473400000000001</v>
      </c>
      <c r="G168" s="94"/>
      <c r="H168" s="95">
        <v>8363</v>
      </c>
      <c r="I168" s="96"/>
      <c r="J168" s="96">
        <v>8319</v>
      </c>
      <c r="K168" s="96"/>
      <c r="L168" s="97"/>
      <c r="M168" s="97"/>
    </row>
    <row r="169" spans="1:13" s="43" customFormat="1" hidden="1" outlineLevel="2">
      <c r="A169" s="98" t="s">
        <v>304</v>
      </c>
      <c r="B169" s="99"/>
      <c r="C169" s="100" t="s">
        <v>152</v>
      </c>
      <c r="D169" s="101" t="s">
        <v>142</v>
      </c>
      <c r="E169" s="102">
        <v>2.0404800000000001</v>
      </c>
      <c r="F169" s="102">
        <v>0.99473400000000001</v>
      </c>
      <c r="G169" s="103"/>
      <c r="H169" s="102">
        <v>2722</v>
      </c>
      <c r="I169" s="104"/>
      <c r="J169" s="104">
        <v>2707.67</v>
      </c>
      <c r="K169" s="96"/>
      <c r="L169" s="97"/>
      <c r="M169" s="97"/>
    </row>
    <row r="170" spans="1:13" s="43" customFormat="1" hidden="1" outlineLevel="1">
      <c r="A170" s="105" t="s">
        <v>305</v>
      </c>
      <c r="B170" s="106" t="s">
        <v>157</v>
      </c>
      <c r="C170" s="107" t="s">
        <v>158</v>
      </c>
      <c r="D170" s="106" t="s">
        <v>137</v>
      </c>
      <c r="E170" s="108">
        <v>2.5400000000000002E-3</v>
      </c>
      <c r="F170" s="108">
        <v>1.238E-3</v>
      </c>
      <c r="G170" s="109">
        <v>1510113</v>
      </c>
      <c r="H170" s="110"/>
      <c r="I170" s="111"/>
      <c r="J170" s="111"/>
      <c r="K170" s="111">
        <v>1870</v>
      </c>
      <c r="L170" s="97"/>
      <c r="M170" s="97"/>
    </row>
    <row r="171" spans="1:13" s="43" customFormat="1" ht="21.75" hidden="1" outlineLevel="1" thickBot="1">
      <c r="A171" s="105" t="s">
        <v>306</v>
      </c>
      <c r="B171" s="106" t="s">
        <v>160</v>
      </c>
      <c r="C171" s="107" t="s">
        <v>161</v>
      </c>
      <c r="D171" s="106" t="s">
        <v>162</v>
      </c>
      <c r="E171" s="108">
        <v>3.36</v>
      </c>
      <c r="F171" s="108">
        <v>1.6379999999999999</v>
      </c>
      <c r="G171" s="109">
        <v>1215</v>
      </c>
      <c r="H171" s="110"/>
      <c r="I171" s="111"/>
      <c r="J171" s="111"/>
      <c r="K171" s="111">
        <v>1990</v>
      </c>
      <c r="L171" s="97"/>
      <c r="M171" s="97"/>
    </row>
    <row r="172" spans="1:13" s="43" customFormat="1" ht="13.5" collapsed="1" thickTop="1">
      <c r="A172" s="116"/>
      <c r="B172" s="117"/>
      <c r="C172" s="118" t="s">
        <v>307</v>
      </c>
      <c r="D172" s="119" t="s">
        <v>6</v>
      </c>
      <c r="E172" s="120"/>
      <c r="F172" s="121"/>
      <c r="G172" s="122"/>
      <c r="H172" s="122"/>
      <c r="I172" s="123"/>
      <c r="J172" s="123"/>
      <c r="K172" s="123"/>
      <c r="L172" s="123"/>
      <c r="M172" s="196">
        <v>11356842</v>
      </c>
    </row>
    <row r="173" spans="1:13" s="43" customFormat="1">
      <c r="A173" s="124"/>
      <c r="B173" s="125"/>
      <c r="C173" s="126" t="s">
        <v>308</v>
      </c>
      <c r="D173" s="127"/>
      <c r="E173" s="128"/>
      <c r="F173" s="129"/>
      <c r="G173" s="129"/>
      <c r="H173" s="129"/>
      <c r="I173" s="130"/>
      <c r="J173" s="130"/>
      <c r="K173" s="130"/>
      <c r="L173" s="130"/>
      <c r="M173" s="130"/>
    </row>
    <row r="174" spans="1:13" s="43" customFormat="1">
      <c r="A174" s="131"/>
      <c r="B174" s="132"/>
      <c r="C174" s="133" t="s">
        <v>309</v>
      </c>
      <c r="D174" s="134" t="s">
        <v>6</v>
      </c>
      <c r="E174" s="135"/>
      <c r="F174" s="136"/>
      <c r="G174" s="137"/>
      <c r="H174" s="137"/>
      <c r="I174" s="138">
        <v>2330488</v>
      </c>
      <c r="J174" s="138"/>
      <c r="K174" s="138"/>
      <c r="L174" s="138"/>
      <c r="M174" s="138"/>
    </row>
    <row r="175" spans="1:13" s="43" customFormat="1">
      <c r="A175" s="131"/>
      <c r="B175" s="132"/>
      <c r="C175" s="133" t="s">
        <v>310</v>
      </c>
      <c r="D175" s="134" t="s">
        <v>6</v>
      </c>
      <c r="E175" s="135"/>
      <c r="F175" s="136"/>
      <c r="G175" s="137"/>
      <c r="H175" s="137"/>
      <c r="I175" s="138"/>
      <c r="J175" s="138">
        <v>351883</v>
      </c>
      <c r="K175" s="138"/>
      <c r="L175" s="138"/>
      <c r="M175" s="138"/>
    </row>
    <row r="176" spans="1:13" s="43" customFormat="1">
      <c r="A176" s="131"/>
      <c r="B176" s="132"/>
      <c r="C176" s="133" t="s">
        <v>311</v>
      </c>
      <c r="D176" s="134" t="s">
        <v>6</v>
      </c>
      <c r="E176" s="135"/>
      <c r="F176" s="136"/>
      <c r="G176" s="137"/>
      <c r="H176" s="137"/>
      <c r="I176" s="138"/>
      <c r="J176" s="138">
        <v>95129</v>
      </c>
      <c r="K176" s="138"/>
      <c r="L176" s="138"/>
      <c r="M176" s="138"/>
    </row>
    <row r="177" spans="1:13" s="43" customFormat="1">
      <c r="A177" s="131"/>
      <c r="B177" s="132"/>
      <c r="C177" s="133" t="s">
        <v>312</v>
      </c>
      <c r="D177" s="134" t="s">
        <v>6</v>
      </c>
      <c r="E177" s="135"/>
      <c r="F177" s="136"/>
      <c r="G177" s="137"/>
      <c r="H177" s="137"/>
      <c r="I177" s="138"/>
      <c r="J177" s="138"/>
      <c r="K177" s="138">
        <v>8674471</v>
      </c>
      <c r="L177" s="138"/>
      <c r="M177" s="138"/>
    </row>
    <row r="178" spans="1:13" s="43" customFormat="1">
      <c r="A178" s="265"/>
      <c r="B178" s="265"/>
      <c r="C178" s="265"/>
      <c r="D178" s="265"/>
      <c r="E178" s="265"/>
      <c r="F178" s="265"/>
      <c r="G178" s="265"/>
      <c r="H178" s="265"/>
      <c r="I178" s="265"/>
      <c r="J178" s="265"/>
      <c r="K178" s="265"/>
      <c r="L178" s="265"/>
      <c r="M178" s="265"/>
    </row>
    <row r="179" spans="1:13" s="43" customFormat="1">
      <c r="A179" s="139"/>
      <c r="B179" s="262" t="s">
        <v>24</v>
      </c>
      <c r="C179" s="262"/>
      <c r="D179" s="262"/>
      <c r="E179" s="140"/>
      <c r="F179" s="263" t="s">
        <v>25</v>
      </c>
      <c r="G179" s="263"/>
      <c r="H179" s="263"/>
      <c r="I179" s="263"/>
      <c r="J179" s="263"/>
      <c r="K179" s="263"/>
      <c r="L179" s="263"/>
      <c r="M179" s="263"/>
    </row>
    <row r="180" spans="1:13" s="43" customFormat="1">
      <c r="A180" s="265"/>
      <c r="B180" s="265"/>
      <c r="C180" s="265"/>
      <c r="D180" s="265"/>
      <c r="E180" s="265"/>
      <c r="F180" s="265"/>
      <c r="G180" s="265"/>
      <c r="H180" s="265"/>
      <c r="I180" s="265"/>
      <c r="J180" s="265"/>
      <c r="K180" s="265"/>
      <c r="L180" s="265"/>
      <c r="M180" s="265"/>
    </row>
    <row r="181" spans="1:13" s="43" customFormat="1">
      <c r="A181" s="139"/>
      <c r="B181" s="262" t="s">
        <v>26</v>
      </c>
      <c r="C181" s="262"/>
      <c r="D181" s="262"/>
      <c r="E181" s="140"/>
      <c r="F181" s="263" t="s">
        <v>27</v>
      </c>
      <c r="G181" s="263"/>
      <c r="H181" s="263"/>
      <c r="I181" s="263"/>
      <c r="J181" s="263"/>
      <c r="K181" s="263"/>
      <c r="L181" s="263"/>
      <c r="M181" s="263"/>
    </row>
  </sheetData>
  <mergeCells count="30">
    <mergeCell ref="C3:M3"/>
    <mergeCell ref="C4:M4"/>
    <mergeCell ref="C5:M5"/>
    <mergeCell ref="C6:M6"/>
    <mergeCell ref="C8:G8"/>
    <mergeCell ref="H8:M8"/>
    <mergeCell ref="A23:M23"/>
    <mergeCell ref="C9:K9"/>
    <mergeCell ref="C11:M11"/>
    <mergeCell ref="C12:L12"/>
    <mergeCell ref="C14:M14"/>
    <mergeCell ref="A18:K18"/>
    <mergeCell ref="A19:A21"/>
    <mergeCell ref="B19:B21"/>
    <mergeCell ref="C19:C21"/>
    <mergeCell ref="D19:D21"/>
    <mergeCell ref="E19:F20"/>
    <mergeCell ref="G19:H19"/>
    <mergeCell ref="I19:K19"/>
    <mergeCell ref="L19:L20"/>
    <mergeCell ref="M19:M21"/>
    <mergeCell ref="E22:F22"/>
    <mergeCell ref="B181:D181"/>
    <mergeCell ref="F181:M181"/>
    <mergeCell ref="F24:K24"/>
    <mergeCell ref="C25:D25"/>
    <mergeCell ref="A178:M178"/>
    <mergeCell ref="B179:D179"/>
    <mergeCell ref="F179:M179"/>
    <mergeCell ref="A180:M180"/>
  </mergeCells>
  <printOptions horizontalCentered="1"/>
  <pageMargins left="0.59" right="0.39" top="0.59" bottom="0.59" header="0.39" footer="0.39"/>
  <pageSetup paperSize="9" scale="70" fitToHeight="10000" orientation="landscape" horizontalDpi="300" verticalDpi="300" r:id="rId1"/>
  <headerFooter>
    <oddHeader>&amp;L&amp;9Программный комплекс АВС (редакция 2023.10)&amp;C&amp;P&amp;R360014020</oddHeader>
    <oddFooter>&amp;CСтраниц -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78"/>
  <sheetViews>
    <sheetView showGridLines="0" workbookViewId="0">
      <selection activeCell="C32" sqref="C32"/>
    </sheetView>
  </sheetViews>
  <sheetFormatPr defaultRowHeight="12.75" outlineLevelRow="3"/>
  <cols>
    <col min="1" max="1" width="6.42578125" style="4" customWidth="1"/>
    <col min="2" max="2" width="14.28515625" style="4" customWidth="1"/>
    <col min="3" max="3" width="69.85546875" style="4" customWidth="1"/>
    <col min="4" max="4" width="10.42578125" style="4" customWidth="1"/>
    <col min="5" max="5" width="10.5703125" style="4" customWidth="1"/>
    <col min="6" max="6" width="10.7109375" style="4" customWidth="1"/>
    <col min="7" max="7" width="14.28515625" style="4" customWidth="1"/>
    <col min="8" max="256" width="8.85546875" style="4"/>
    <col min="257" max="257" width="6.42578125" style="4" customWidth="1"/>
    <col min="258" max="258" width="14.28515625" style="4" customWidth="1"/>
    <col min="259" max="259" width="69.85546875" style="4" customWidth="1"/>
    <col min="260" max="260" width="10.42578125" style="4" customWidth="1"/>
    <col min="261" max="261" width="10.5703125" style="4" customWidth="1"/>
    <col min="262" max="262" width="10.7109375" style="4" customWidth="1"/>
    <col min="263" max="263" width="14.28515625" style="4" customWidth="1"/>
    <col min="264" max="512" width="8.85546875" style="4"/>
    <col min="513" max="513" width="6.42578125" style="4" customWidth="1"/>
    <col min="514" max="514" width="14.28515625" style="4" customWidth="1"/>
    <col min="515" max="515" width="69.85546875" style="4" customWidth="1"/>
    <col min="516" max="516" width="10.42578125" style="4" customWidth="1"/>
    <col min="517" max="517" width="10.5703125" style="4" customWidth="1"/>
    <col min="518" max="518" width="10.7109375" style="4" customWidth="1"/>
    <col min="519" max="519" width="14.28515625" style="4" customWidth="1"/>
    <col min="520" max="768" width="8.85546875" style="4"/>
    <col min="769" max="769" width="6.42578125" style="4" customWidth="1"/>
    <col min="770" max="770" width="14.28515625" style="4" customWidth="1"/>
    <col min="771" max="771" width="69.85546875" style="4" customWidth="1"/>
    <col min="772" max="772" width="10.42578125" style="4" customWidth="1"/>
    <col min="773" max="773" width="10.5703125" style="4" customWidth="1"/>
    <col min="774" max="774" width="10.7109375" style="4" customWidth="1"/>
    <col min="775" max="775" width="14.28515625" style="4" customWidth="1"/>
    <col min="776" max="1024" width="8.85546875" style="4"/>
    <col min="1025" max="1025" width="6.42578125" style="4" customWidth="1"/>
    <col min="1026" max="1026" width="14.28515625" style="4" customWidth="1"/>
    <col min="1027" max="1027" width="69.85546875" style="4" customWidth="1"/>
    <col min="1028" max="1028" width="10.42578125" style="4" customWidth="1"/>
    <col min="1029" max="1029" width="10.5703125" style="4" customWidth="1"/>
    <col min="1030" max="1030" width="10.7109375" style="4" customWidth="1"/>
    <col min="1031" max="1031" width="14.28515625" style="4" customWidth="1"/>
    <col min="1032" max="1280" width="8.85546875" style="4"/>
    <col min="1281" max="1281" width="6.42578125" style="4" customWidth="1"/>
    <col min="1282" max="1282" width="14.28515625" style="4" customWidth="1"/>
    <col min="1283" max="1283" width="69.85546875" style="4" customWidth="1"/>
    <col min="1284" max="1284" width="10.42578125" style="4" customWidth="1"/>
    <col min="1285" max="1285" width="10.5703125" style="4" customWidth="1"/>
    <col min="1286" max="1286" width="10.7109375" style="4" customWidth="1"/>
    <col min="1287" max="1287" width="14.28515625" style="4" customWidth="1"/>
    <col min="1288" max="1536" width="8.85546875" style="4"/>
    <col min="1537" max="1537" width="6.42578125" style="4" customWidth="1"/>
    <col min="1538" max="1538" width="14.28515625" style="4" customWidth="1"/>
    <col min="1539" max="1539" width="69.85546875" style="4" customWidth="1"/>
    <col min="1540" max="1540" width="10.42578125" style="4" customWidth="1"/>
    <col min="1541" max="1541" width="10.5703125" style="4" customWidth="1"/>
    <col min="1542" max="1542" width="10.7109375" style="4" customWidth="1"/>
    <col min="1543" max="1543" width="14.28515625" style="4" customWidth="1"/>
    <col min="1544" max="1792" width="8.85546875" style="4"/>
    <col min="1793" max="1793" width="6.42578125" style="4" customWidth="1"/>
    <col min="1794" max="1794" width="14.28515625" style="4" customWidth="1"/>
    <col min="1795" max="1795" width="69.85546875" style="4" customWidth="1"/>
    <col min="1796" max="1796" width="10.42578125" style="4" customWidth="1"/>
    <col min="1797" max="1797" width="10.5703125" style="4" customWidth="1"/>
    <col min="1798" max="1798" width="10.7109375" style="4" customWidth="1"/>
    <col min="1799" max="1799" width="14.28515625" style="4" customWidth="1"/>
    <col min="1800" max="2048" width="8.85546875" style="4"/>
    <col min="2049" max="2049" width="6.42578125" style="4" customWidth="1"/>
    <col min="2050" max="2050" width="14.28515625" style="4" customWidth="1"/>
    <col min="2051" max="2051" width="69.85546875" style="4" customWidth="1"/>
    <col min="2052" max="2052" width="10.42578125" style="4" customWidth="1"/>
    <col min="2053" max="2053" width="10.5703125" style="4" customWidth="1"/>
    <col min="2054" max="2054" width="10.7109375" style="4" customWidth="1"/>
    <col min="2055" max="2055" width="14.28515625" style="4" customWidth="1"/>
    <col min="2056" max="2304" width="8.85546875" style="4"/>
    <col min="2305" max="2305" width="6.42578125" style="4" customWidth="1"/>
    <col min="2306" max="2306" width="14.28515625" style="4" customWidth="1"/>
    <col min="2307" max="2307" width="69.85546875" style="4" customWidth="1"/>
    <col min="2308" max="2308" width="10.42578125" style="4" customWidth="1"/>
    <col min="2309" max="2309" width="10.5703125" style="4" customWidth="1"/>
    <col min="2310" max="2310" width="10.7109375" style="4" customWidth="1"/>
    <col min="2311" max="2311" width="14.28515625" style="4" customWidth="1"/>
    <col min="2312" max="2560" width="8.85546875" style="4"/>
    <col min="2561" max="2561" width="6.42578125" style="4" customWidth="1"/>
    <col min="2562" max="2562" width="14.28515625" style="4" customWidth="1"/>
    <col min="2563" max="2563" width="69.85546875" style="4" customWidth="1"/>
    <col min="2564" max="2564" width="10.42578125" style="4" customWidth="1"/>
    <col min="2565" max="2565" width="10.5703125" style="4" customWidth="1"/>
    <col min="2566" max="2566" width="10.7109375" style="4" customWidth="1"/>
    <col min="2567" max="2567" width="14.28515625" style="4" customWidth="1"/>
    <col min="2568" max="2816" width="8.85546875" style="4"/>
    <col min="2817" max="2817" width="6.42578125" style="4" customWidth="1"/>
    <col min="2818" max="2818" width="14.28515625" style="4" customWidth="1"/>
    <col min="2819" max="2819" width="69.85546875" style="4" customWidth="1"/>
    <col min="2820" max="2820" width="10.42578125" style="4" customWidth="1"/>
    <col min="2821" max="2821" width="10.5703125" style="4" customWidth="1"/>
    <col min="2822" max="2822" width="10.7109375" style="4" customWidth="1"/>
    <col min="2823" max="2823" width="14.28515625" style="4" customWidth="1"/>
    <col min="2824" max="3072" width="8.85546875" style="4"/>
    <col min="3073" max="3073" width="6.42578125" style="4" customWidth="1"/>
    <col min="3074" max="3074" width="14.28515625" style="4" customWidth="1"/>
    <col min="3075" max="3075" width="69.85546875" style="4" customWidth="1"/>
    <col min="3076" max="3076" width="10.42578125" style="4" customWidth="1"/>
    <col min="3077" max="3077" width="10.5703125" style="4" customWidth="1"/>
    <col min="3078" max="3078" width="10.7109375" style="4" customWidth="1"/>
    <col min="3079" max="3079" width="14.28515625" style="4" customWidth="1"/>
    <col min="3080" max="3328" width="8.85546875" style="4"/>
    <col min="3329" max="3329" width="6.42578125" style="4" customWidth="1"/>
    <col min="3330" max="3330" width="14.28515625" style="4" customWidth="1"/>
    <col min="3331" max="3331" width="69.85546875" style="4" customWidth="1"/>
    <col min="3332" max="3332" width="10.42578125" style="4" customWidth="1"/>
    <col min="3333" max="3333" width="10.5703125" style="4" customWidth="1"/>
    <col min="3334" max="3334" width="10.7109375" style="4" customWidth="1"/>
    <col min="3335" max="3335" width="14.28515625" style="4" customWidth="1"/>
    <col min="3336" max="3584" width="8.85546875" style="4"/>
    <col min="3585" max="3585" width="6.42578125" style="4" customWidth="1"/>
    <col min="3586" max="3586" width="14.28515625" style="4" customWidth="1"/>
    <col min="3587" max="3587" width="69.85546875" style="4" customWidth="1"/>
    <col min="3588" max="3588" width="10.42578125" style="4" customWidth="1"/>
    <col min="3589" max="3589" width="10.5703125" style="4" customWidth="1"/>
    <col min="3590" max="3590" width="10.7109375" style="4" customWidth="1"/>
    <col min="3591" max="3591" width="14.28515625" style="4" customWidth="1"/>
    <col min="3592" max="3840" width="8.85546875" style="4"/>
    <col min="3841" max="3841" width="6.42578125" style="4" customWidth="1"/>
    <col min="3842" max="3842" width="14.28515625" style="4" customWidth="1"/>
    <col min="3843" max="3843" width="69.85546875" style="4" customWidth="1"/>
    <col min="3844" max="3844" width="10.42578125" style="4" customWidth="1"/>
    <col min="3845" max="3845" width="10.5703125" style="4" customWidth="1"/>
    <col min="3846" max="3846" width="10.7109375" style="4" customWidth="1"/>
    <col min="3847" max="3847" width="14.28515625" style="4" customWidth="1"/>
    <col min="3848" max="4096" width="8.85546875" style="4"/>
    <col min="4097" max="4097" width="6.42578125" style="4" customWidth="1"/>
    <col min="4098" max="4098" width="14.28515625" style="4" customWidth="1"/>
    <col min="4099" max="4099" width="69.85546875" style="4" customWidth="1"/>
    <col min="4100" max="4100" width="10.42578125" style="4" customWidth="1"/>
    <col min="4101" max="4101" width="10.5703125" style="4" customWidth="1"/>
    <col min="4102" max="4102" width="10.7109375" style="4" customWidth="1"/>
    <col min="4103" max="4103" width="14.28515625" style="4" customWidth="1"/>
    <col min="4104" max="4352" width="8.85546875" style="4"/>
    <col min="4353" max="4353" width="6.42578125" style="4" customWidth="1"/>
    <col min="4354" max="4354" width="14.28515625" style="4" customWidth="1"/>
    <col min="4355" max="4355" width="69.85546875" style="4" customWidth="1"/>
    <col min="4356" max="4356" width="10.42578125" style="4" customWidth="1"/>
    <col min="4357" max="4357" width="10.5703125" style="4" customWidth="1"/>
    <col min="4358" max="4358" width="10.7109375" style="4" customWidth="1"/>
    <col min="4359" max="4359" width="14.28515625" style="4" customWidth="1"/>
    <col min="4360" max="4608" width="8.85546875" style="4"/>
    <col min="4609" max="4609" width="6.42578125" style="4" customWidth="1"/>
    <col min="4610" max="4610" width="14.28515625" style="4" customWidth="1"/>
    <col min="4611" max="4611" width="69.85546875" style="4" customWidth="1"/>
    <col min="4612" max="4612" width="10.42578125" style="4" customWidth="1"/>
    <col min="4613" max="4613" width="10.5703125" style="4" customWidth="1"/>
    <col min="4614" max="4614" width="10.7109375" style="4" customWidth="1"/>
    <col min="4615" max="4615" width="14.28515625" style="4" customWidth="1"/>
    <col min="4616" max="4864" width="8.85546875" style="4"/>
    <col min="4865" max="4865" width="6.42578125" style="4" customWidth="1"/>
    <col min="4866" max="4866" width="14.28515625" style="4" customWidth="1"/>
    <col min="4867" max="4867" width="69.85546875" style="4" customWidth="1"/>
    <col min="4868" max="4868" width="10.42578125" style="4" customWidth="1"/>
    <col min="4869" max="4869" width="10.5703125" style="4" customWidth="1"/>
    <col min="4870" max="4870" width="10.7109375" style="4" customWidth="1"/>
    <col min="4871" max="4871" width="14.28515625" style="4" customWidth="1"/>
    <col min="4872" max="5120" width="8.85546875" style="4"/>
    <col min="5121" max="5121" width="6.42578125" style="4" customWidth="1"/>
    <col min="5122" max="5122" width="14.28515625" style="4" customWidth="1"/>
    <col min="5123" max="5123" width="69.85546875" style="4" customWidth="1"/>
    <col min="5124" max="5124" width="10.42578125" style="4" customWidth="1"/>
    <col min="5125" max="5125" width="10.5703125" style="4" customWidth="1"/>
    <col min="5126" max="5126" width="10.7109375" style="4" customWidth="1"/>
    <col min="5127" max="5127" width="14.28515625" style="4" customWidth="1"/>
    <col min="5128" max="5376" width="8.85546875" style="4"/>
    <col min="5377" max="5377" width="6.42578125" style="4" customWidth="1"/>
    <col min="5378" max="5378" width="14.28515625" style="4" customWidth="1"/>
    <col min="5379" max="5379" width="69.85546875" style="4" customWidth="1"/>
    <col min="5380" max="5380" width="10.42578125" style="4" customWidth="1"/>
    <col min="5381" max="5381" width="10.5703125" style="4" customWidth="1"/>
    <col min="5382" max="5382" width="10.7109375" style="4" customWidth="1"/>
    <col min="5383" max="5383" width="14.28515625" style="4" customWidth="1"/>
    <col min="5384" max="5632" width="8.85546875" style="4"/>
    <col min="5633" max="5633" width="6.42578125" style="4" customWidth="1"/>
    <col min="5634" max="5634" width="14.28515625" style="4" customWidth="1"/>
    <col min="5635" max="5635" width="69.85546875" style="4" customWidth="1"/>
    <col min="5636" max="5636" width="10.42578125" style="4" customWidth="1"/>
    <col min="5637" max="5637" width="10.5703125" style="4" customWidth="1"/>
    <col min="5638" max="5638" width="10.7109375" style="4" customWidth="1"/>
    <col min="5639" max="5639" width="14.28515625" style="4" customWidth="1"/>
    <col min="5640" max="5888" width="8.85546875" style="4"/>
    <col min="5889" max="5889" width="6.42578125" style="4" customWidth="1"/>
    <col min="5890" max="5890" width="14.28515625" style="4" customWidth="1"/>
    <col min="5891" max="5891" width="69.85546875" style="4" customWidth="1"/>
    <col min="5892" max="5892" width="10.42578125" style="4" customWidth="1"/>
    <col min="5893" max="5893" width="10.5703125" style="4" customWidth="1"/>
    <col min="5894" max="5894" width="10.7109375" style="4" customWidth="1"/>
    <col min="5895" max="5895" width="14.28515625" style="4" customWidth="1"/>
    <col min="5896" max="6144" width="8.85546875" style="4"/>
    <col min="6145" max="6145" width="6.42578125" style="4" customWidth="1"/>
    <col min="6146" max="6146" width="14.28515625" style="4" customWidth="1"/>
    <col min="6147" max="6147" width="69.85546875" style="4" customWidth="1"/>
    <col min="6148" max="6148" width="10.42578125" style="4" customWidth="1"/>
    <col min="6149" max="6149" width="10.5703125" style="4" customWidth="1"/>
    <col min="6150" max="6150" width="10.7109375" style="4" customWidth="1"/>
    <col min="6151" max="6151" width="14.28515625" style="4" customWidth="1"/>
    <col min="6152" max="6400" width="8.85546875" style="4"/>
    <col min="6401" max="6401" width="6.42578125" style="4" customWidth="1"/>
    <col min="6402" max="6402" width="14.28515625" style="4" customWidth="1"/>
    <col min="6403" max="6403" width="69.85546875" style="4" customWidth="1"/>
    <col min="6404" max="6404" width="10.42578125" style="4" customWidth="1"/>
    <col min="6405" max="6405" width="10.5703125" style="4" customWidth="1"/>
    <col min="6406" max="6406" width="10.7109375" style="4" customWidth="1"/>
    <col min="6407" max="6407" width="14.28515625" style="4" customWidth="1"/>
    <col min="6408" max="6656" width="8.85546875" style="4"/>
    <col min="6657" max="6657" width="6.42578125" style="4" customWidth="1"/>
    <col min="6658" max="6658" width="14.28515625" style="4" customWidth="1"/>
    <col min="6659" max="6659" width="69.85546875" style="4" customWidth="1"/>
    <col min="6660" max="6660" width="10.42578125" style="4" customWidth="1"/>
    <col min="6661" max="6661" width="10.5703125" style="4" customWidth="1"/>
    <col min="6662" max="6662" width="10.7109375" style="4" customWidth="1"/>
    <col min="6663" max="6663" width="14.28515625" style="4" customWidth="1"/>
    <col min="6664" max="6912" width="8.85546875" style="4"/>
    <col min="6913" max="6913" width="6.42578125" style="4" customWidth="1"/>
    <col min="6914" max="6914" width="14.28515625" style="4" customWidth="1"/>
    <col min="6915" max="6915" width="69.85546875" style="4" customWidth="1"/>
    <col min="6916" max="6916" width="10.42578125" style="4" customWidth="1"/>
    <col min="6917" max="6917" width="10.5703125" style="4" customWidth="1"/>
    <col min="6918" max="6918" width="10.7109375" style="4" customWidth="1"/>
    <col min="6919" max="6919" width="14.28515625" style="4" customWidth="1"/>
    <col min="6920" max="7168" width="8.85546875" style="4"/>
    <col min="7169" max="7169" width="6.42578125" style="4" customWidth="1"/>
    <col min="7170" max="7170" width="14.28515625" style="4" customWidth="1"/>
    <col min="7171" max="7171" width="69.85546875" style="4" customWidth="1"/>
    <col min="7172" max="7172" width="10.42578125" style="4" customWidth="1"/>
    <col min="7173" max="7173" width="10.5703125" style="4" customWidth="1"/>
    <col min="7174" max="7174" width="10.7109375" style="4" customWidth="1"/>
    <col min="7175" max="7175" width="14.28515625" style="4" customWidth="1"/>
    <col min="7176" max="7424" width="8.85546875" style="4"/>
    <col min="7425" max="7425" width="6.42578125" style="4" customWidth="1"/>
    <col min="7426" max="7426" width="14.28515625" style="4" customWidth="1"/>
    <col min="7427" max="7427" width="69.85546875" style="4" customWidth="1"/>
    <col min="7428" max="7428" width="10.42578125" style="4" customWidth="1"/>
    <col min="7429" max="7429" width="10.5703125" style="4" customWidth="1"/>
    <col min="7430" max="7430" width="10.7109375" style="4" customWidth="1"/>
    <col min="7431" max="7431" width="14.28515625" style="4" customWidth="1"/>
    <col min="7432" max="7680" width="8.85546875" style="4"/>
    <col min="7681" max="7681" width="6.42578125" style="4" customWidth="1"/>
    <col min="7682" max="7682" width="14.28515625" style="4" customWidth="1"/>
    <col min="7683" max="7683" width="69.85546875" style="4" customWidth="1"/>
    <col min="7684" max="7684" width="10.42578125" style="4" customWidth="1"/>
    <col min="7685" max="7685" width="10.5703125" style="4" customWidth="1"/>
    <col min="7686" max="7686" width="10.7109375" style="4" customWidth="1"/>
    <col min="7687" max="7687" width="14.28515625" style="4" customWidth="1"/>
    <col min="7688" max="7936" width="8.85546875" style="4"/>
    <col min="7937" max="7937" width="6.42578125" style="4" customWidth="1"/>
    <col min="7938" max="7938" width="14.28515625" style="4" customWidth="1"/>
    <col min="7939" max="7939" width="69.85546875" style="4" customWidth="1"/>
    <col min="7940" max="7940" width="10.42578125" style="4" customWidth="1"/>
    <col min="7941" max="7941" width="10.5703125" style="4" customWidth="1"/>
    <col min="7942" max="7942" width="10.7109375" style="4" customWidth="1"/>
    <col min="7943" max="7943" width="14.28515625" style="4" customWidth="1"/>
    <col min="7944" max="8192" width="8.85546875" style="4"/>
    <col min="8193" max="8193" width="6.42578125" style="4" customWidth="1"/>
    <col min="8194" max="8194" width="14.28515625" style="4" customWidth="1"/>
    <col min="8195" max="8195" width="69.85546875" style="4" customWidth="1"/>
    <col min="8196" max="8196" width="10.42578125" style="4" customWidth="1"/>
    <col min="8197" max="8197" width="10.5703125" style="4" customWidth="1"/>
    <col min="8198" max="8198" width="10.7109375" style="4" customWidth="1"/>
    <col min="8199" max="8199" width="14.28515625" style="4" customWidth="1"/>
    <col min="8200" max="8448" width="8.85546875" style="4"/>
    <col min="8449" max="8449" width="6.42578125" style="4" customWidth="1"/>
    <col min="8450" max="8450" width="14.28515625" style="4" customWidth="1"/>
    <col min="8451" max="8451" width="69.85546875" style="4" customWidth="1"/>
    <col min="8452" max="8452" width="10.42578125" style="4" customWidth="1"/>
    <col min="8453" max="8453" width="10.5703125" style="4" customWidth="1"/>
    <col min="8454" max="8454" width="10.7109375" style="4" customWidth="1"/>
    <col min="8455" max="8455" width="14.28515625" style="4" customWidth="1"/>
    <col min="8456" max="8704" width="8.85546875" style="4"/>
    <col min="8705" max="8705" width="6.42578125" style="4" customWidth="1"/>
    <col min="8706" max="8706" width="14.28515625" style="4" customWidth="1"/>
    <col min="8707" max="8707" width="69.85546875" style="4" customWidth="1"/>
    <col min="8708" max="8708" width="10.42578125" style="4" customWidth="1"/>
    <col min="8709" max="8709" width="10.5703125" style="4" customWidth="1"/>
    <col min="8710" max="8710" width="10.7109375" style="4" customWidth="1"/>
    <col min="8711" max="8711" width="14.28515625" style="4" customWidth="1"/>
    <col min="8712" max="8960" width="8.85546875" style="4"/>
    <col min="8961" max="8961" width="6.42578125" style="4" customWidth="1"/>
    <col min="8962" max="8962" width="14.28515625" style="4" customWidth="1"/>
    <col min="8963" max="8963" width="69.85546875" style="4" customWidth="1"/>
    <col min="8964" max="8964" width="10.42578125" style="4" customWidth="1"/>
    <col min="8965" max="8965" width="10.5703125" style="4" customWidth="1"/>
    <col min="8966" max="8966" width="10.7109375" style="4" customWidth="1"/>
    <col min="8967" max="8967" width="14.28515625" style="4" customWidth="1"/>
    <col min="8968" max="9216" width="8.85546875" style="4"/>
    <col min="9217" max="9217" width="6.42578125" style="4" customWidth="1"/>
    <col min="9218" max="9218" width="14.28515625" style="4" customWidth="1"/>
    <col min="9219" max="9219" width="69.85546875" style="4" customWidth="1"/>
    <col min="9220" max="9220" width="10.42578125" style="4" customWidth="1"/>
    <col min="9221" max="9221" width="10.5703125" style="4" customWidth="1"/>
    <col min="9222" max="9222" width="10.7109375" style="4" customWidth="1"/>
    <col min="9223" max="9223" width="14.28515625" style="4" customWidth="1"/>
    <col min="9224" max="9472" width="8.85546875" style="4"/>
    <col min="9473" max="9473" width="6.42578125" style="4" customWidth="1"/>
    <col min="9474" max="9474" width="14.28515625" style="4" customWidth="1"/>
    <col min="9475" max="9475" width="69.85546875" style="4" customWidth="1"/>
    <col min="9476" max="9476" width="10.42578125" style="4" customWidth="1"/>
    <col min="9477" max="9477" width="10.5703125" style="4" customWidth="1"/>
    <col min="9478" max="9478" width="10.7109375" style="4" customWidth="1"/>
    <col min="9479" max="9479" width="14.28515625" style="4" customWidth="1"/>
    <col min="9480" max="9728" width="8.85546875" style="4"/>
    <col min="9729" max="9729" width="6.42578125" style="4" customWidth="1"/>
    <col min="9730" max="9730" width="14.28515625" style="4" customWidth="1"/>
    <col min="9731" max="9731" width="69.85546875" style="4" customWidth="1"/>
    <col min="9732" max="9732" width="10.42578125" style="4" customWidth="1"/>
    <col min="9733" max="9733" width="10.5703125" style="4" customWidth="1"/>
    <col min="9734" max="9734" width="10.7109375" style="4" customWidth="1"/>
    <col min="9735" max="9735" width="14.28515625" style="4" customWidth="1"/>
    <col min="9736" max="9984" width="8.85546875" style="4"/>
    <col min="9985" max="9985" width="6.42578125" style="4" customWidth="1"/>
    <col min="9986" max="9986" width="14.28515625" style="4" customWidth="1"/>
    <col min="9987" max="9987" width="69.85546875" style="4" customWidth="1"/>
    <col min="9988" max="9988" width="10.42578125" style="4" customWidth="1"/>
    <col min="9989" max="9989" width="10.5703125" style="4" customWidth="1"/>
    <col min="9990" max="9990" width="10.7109375" style="4" customWidth="1"/>
    <col min="9991" max="9991" width="14.28515625" style="4" customWidth="1"/>
    <col min="9992" max="10240" width="8.85546875" style="4"/>
    <col min="10241" max="10241" width="6.42578125" style="4" customWidth="1"/>
    <col min="10242" max="10242" width="14.28515625" style="4" customWidth="1"/>
    <col min="10243" max="10243" width="69.85546875" style="4" customWidth="1"/>
    <col min="10244" max="10244" width="10.42578125" style="4" customWidth="1"/>
    <col min="10245" max="10245" width="10.5703125" style="4" customWidth="1"/>
    <col min="10246" max="10246" width="10.7109375" style="4" customWidth="1"/>
    <col min="10247" max="10247" width="14.28515625" style="4" customWidth="1"/>
    <col min="10248" max="10496" width="8.85546875" style="4"/>
    <col min="10497" max="10497" width="6.42578125" style="4" customWidth="1"/>
    <col min="10498" max="10498" width="14.28515625" style="4" customWidth="1"/>
    <col min="10499" max="10499" width="69.85546875" style="4" customWidth="1"/>
    <col min="10500" max="10500" width="10.42578125" style="4" customWidth="1"/>
    <col min="10501" max="10501" width="10.5703125" style="4" customWidth="1"/>
    <col min="10502" max="10502" width="10.7109375" style="4" customWidth="1"/>
    <col min="10503" max="10503" width="14.28515625" style="4" customWidth="1"/>
    <col min="10504" max="10752" width="8.85546875" style="4"/>
    <col min="10753" max="10753" width="6.42578125" style="4" customWidth="1"/>
    <col min="10754" max="10754" width="14.28515625" style="4" customWidth="1"/>
    <col min="10755" max="10755" width="69.85546875" style="4" customWidth="1"/>
    <col min="10756" max="10756" width="10.42578125" style="4" customWidth="1"/>
    <col min="10757" max="10757" width="10.5703125" style="4" customWidth="1"/>
    <col min="10758" max="10758" width="10.7109375" style="4" customWidth="1"/>
    <col min="10759" max="10759" width="14.28515625" style="4" customWidth="1"/>
    <col min="10760" max="11008" width="8.85546875" style="4"/>
    <col min="11009" max="11009" width="6.42578125" style="4" customWidth="1"/>
    <col min="11010" max="11010" width="14.28515625" style="4" customWidth="1"/>
    <col min="11011" max="11011" width="69.85546875" style="4" customWidth="1"/>
    <col min="11012" max="11012" width="10.42578125" style="4" customWidth="1"/>
    <col min="11013" max="11013" width="10.5703125" style="4" customWidth="1"/>
    <col min="11014" max="11014" width="10.7109375" style="4" customWidth="1"/>
    <col min="11015" max="11015" width="14.28515625" style="4" customWidth="1"/>
    <col min="11016" max="11264" width="8.85546875" style="4"/>
    <col min="11265" max="11265" width="6.42578125" style="4" customWidth="1"/>
    <col min="11266" max="11266" width="14.28515625" style="4" customWidth="1"/>
    <col min="11267" max="11267" width="69.85546875" style="4" customWidth="1"/>
    <col min="11268" max="11268" width="10.42578125" style="4" customWidth="1"/>
    <col min="11269" max="11269" width="10.5703125" style="4" customWidth="1"/>
    <col min="11270" max="11270" width="10.7109375" style="4" customWidth="1"/>
    <col min="11271" max="11271" width="14.28515625" style="4" customWidth="1"/>
    <col min="11272" max="11520" width="8.85546875" style="4"/>
    <col min="11521" max="11521" width="6.42578125" style="4" customWidth="1"/>
    <col min="11522" max="11522" width="14.28515625" style="4" customWidth="1"/>
    <col min="11523" max="11523" width="69.85546875" style="4" customWidth="1"/>
    <col min="11524" max="11524" width="10.42578125" style="4" customWidth="1"/>
    <col min="11525" max="11525" width="10.5703125" style="4" customWidth="1"/>
    <col min="11526" max="11526" width="10.7109375" style="4" customWidth="1"/>
    <col min="11527" max="11527" width="14.28515625" style="4" customWidth="1"/>
    <col min="11528" max="11776" width="8.85546875" style="4"/>
    <col min="11777" max="11777" width="6.42578125" style="4" customWidth="1"/>
    <col min="11778" max="11778" width="14.28515625" style="4" customWidth="1"/>
    <col min="11779" max="11779" width="69.85546875" style="4" customWidth="1"/>
    <col min="11780" max="11780" width="10.42578125" style="4" customWidth="1"/>
    <col min="11781" max="11781" width="10.5703125" style="4" customWidth="1"/>
    <col min="11782" max="11782" width="10.7109375" style="4" customWidth="1"/>
    <col min="11783" max="11783" width="14.28515625" style="4" customWidth="1"/>
    <col min="11784" max="12032" width="8.85546875" style="4"/>
    <col min="12033" max="12033" width="6.42578125" style="4" customWidth="1"/>
    <col min="12034" max="12034" width="14.28515625" style="4" customWidth="1"/>
    <col min="12035" max="12035" width="69.85546875" style="4" customWidth="1"/>
    <col min="12036" max="12036" width="10.42578125" style="4" customWidth="1"/>
    <col min="12037" max="12037" width="10.5703125" style="4" customWidth="1"/>
    <col min="12038" max="12038" width="10.7109375" style="4" customWidth="1"/>
    <col min="12039" max="12039" width="14.28515625" style="4" customWidth="1"/>
    <col min="12040" max="12288" width="8.85546875" style="4"/>
    <col min="12289" max="12289" width="6.42578125" style="4" customWidth="1"/>
    <col min="12290" max="12290" width="14.28515625" style="4" customWidth="1"/>
    <col min="12291" max="12291" width="69.85546875" style="4" customWidth="1"/>
    <col min="12292" max="12292" width="10.42578125" style="4" customWidth="1"/>
    <col min="12293" max="12293" width="10.5703125" style="4" customWidth="1"/>
    <col min="12294" max="12294" width="10.7109375" style="4" customWidth="1"/>
    <col min="12295" max="12295" width="14.28515625" style="4" customWidth="1"/>
    <col min="12296" max="12544" width="8.85546875" style="4"/>
    <col min="12545" max="12545" width="6.42578125" style="4" customWidth="1"/>
    <col min="12546" max="12546" width="14.28515625" style="4" customWidth="1"/>
    <col min="12547" max="12547" width="69.85546875" style="4" customWidth="1"/>
    <col min="12548" max="12548" width="10.42578125" style="4" customWidth="1"/>
    <col min="12549" max="12549" width="10.5703125" style="4" customWidth="1"/>
    <col min="12550" max="12550" width="10.7109375" style="4" customWidth="1"/>
    <col min="12551" max="12551" width="14.28515625" style="4" customWidth="1"/>
    <col min="12552" max="12800" width="8.85546875" style="4"/>
    <col min="12801" max="12801" width="6.42578125" style="4" customWidth="1"/>
    <col min="12802" max="12802" width="14.28515625" style="4" customWidth="1"/>
    <col min="12803" max="12803" width="69.85546875" style="4" customWidth="1"/>
    <col min="12804" max="12804" width="10.42578125" style="4" customWidth="1"/>
    <col min="12805" max="12805" width="10.5703125" style="4" customWidth="1"/>
    <col min="12806" max="12806" width="10.7109375" style="4" customWidth="1"/>
    <col min="12807" max="12807" width="14.28515625" style="4" customWidth="1"/>
    <col min="12808" max="13056" width="8.85546875" style="4"/>
    <col min="13057" max="13057" width="6.42578125" style="4" customWidth="1"/>
    <col min="13058" max="13058" width="14.28515625" style="4" customWidth="1"/>
    <col min="13059" max="13059" width="69.85546875" style="4" customWidth="1"/>
    <col min="13060" max="13060" width="10.42578125" style="4" customWidth="1"/>
    <col min="13061" max="13061" width="10.5703125" style="4" customWidth="1"/>
    <col min="13062" max="13062" width="10.7109375" style="4" customWidth="1"/>
    <col min="13063" max="13063" width="14.28515625" style="4" customWidth="1"/>
    <col min="13064" max="13312" width="8.85546875" style="4"/>
    <col min="13313" max="13313" width="6.42578125" style="4" customWidth="1"/>
    <col min="13314" max="13314" width="14.28515625" style="4" customWidth="1"/>
    <col min="13315" max="13315" width="69.85546875" style="4" customWidth="1"/>
    <col min="13316" max="13316" width="10.42578125" style="4" customWidth="1"/>
    <col min="13317" max="13317" width="10.5703125" style="4" customWidth="1"/>
    <col min="13318" max="13318" width="10.7109375" style="4" customWidth="1"/>
    <col min="13319" max="13319" width="14.28515625" style="4" customWidth="1"/>
    <col min="13320" max="13568" width="8.85546875" style="4"/>
    <col min="13569" max="13569" width="6.42578125" style="4" customWidth="1"/>
    <col min="13570" max="13570" width="14.28515625" style="4" customWidth="1"/>
    <col min="13571" max="13571" width="69.85546875" style="4" customWidth="1"/>
    <col min="13572" max="13572" width="10.42578125" style="4" customWidth="1"/>
    <col min="13573" max="13573" width="10.5703125" style="4" customWidth="1"/>
    <col min="13574" max="13574" width="10.7109375" style="4" customWidth="1"/>
    <col min="13575" max="13575" width="14.28515625" style="4" customWidth="1"/>
    <col min="13576" max="13824" width="8.85546875" style="4"/>
    <col min="13825" max="13825" width="6.42578125" style="4" customWidth="1"/>
    <col min="13826" max="13826" width="14.28515625" style="4" customWidth="1"/>
    <col min="13827" max="13827" width="69.85546875" style="4" customWidth="1"/>
    <col min="13828" max="13828" width="10.42578125" style="4" customWidth="1"/>
    <col min="13829" max="13829" width="10.5703125" style="4" customWidth="1"/>
    <col min="13830" max="13830" width="10.7109375" style="4" customWidth="1"/>
    <col min="13831" max="13831" width="14.28515625" style="4" customWidth="1"/>
    <col min="13832" max="14080" width="8.85546875" style="4"/>
    <col min="14081" max="14081" width="6.42578125" style="4" customWidth="1"/>
    <col min="14082" max="14082" width="14.28515625" style="4" customWidth="1"/>
    <col min="14083" max="14083" width="69.85546875" style="4" customWidth="1"/>
    <col min="14084" max="14084" width="10.42578125" style="4" customWidth="1"/>
    <col min="14085" max="14085" width="10.5703125" style="4" customWidth="1"/>
    <col min="14086" max="14086" width="10.7109375" style="4" customWidth="1"/>
    <col min="14087" max="14087" width="14.28515625" style="4" customWidth="1"/>
    <col min="14088" max="14336" width="8.85546875" style="4"/>
    <col min="14337" max="14337" width="6.42578125" style="4" customWidth="1"/>
    <col min="14338" max="14338" width="14.28515625" style="4" customWidth="1"/>
    <col min="14339" max="14339" width="69.85546875" style="4" customWidth="1"/>
    <col min="14340" max="14340" width="10.42578125" style="4" customWidth="1"/>
    <col min="14341" max="14341" width="10.5703125" style="4" customWidth="1"/>
    <col min="14342" max="14342" width="10.7109375" style="4" customWidth="1"/>
    <col min="14343" max="14343" width="14.28515625" style="4" customWidth="1"/>
    <col min="14344" max="14592" width="8.85546875" style="4"/>
    <col min="14593" max="14593" width="6.42578125" style="4" customWidth="1"/>
    <col min="14594" max="14594" width="14.28515625" style="4" customWidth="1"/>
    <col min="14595" max="14595" width="69.85546875" style="4" customWidth="1"/>
    <col min="14596" max="14596" width="10.42578125" style="4" customWidth="1"/>
    <col min="14597" max="14597" width="10.5703125" style="4" customWidth="1"/>
    <col min="14598" max="14598" width="10.7109375" style="4" customWidth="1"/>
    <col min="14599" max="14599" width="14.28515625" style="4" customWidth="1"/>
    <col min="14600" max="14848" width="8.85546875" style="4"/>
    <col min="14849" max="14849" width="6.42578125" style="4" customWidth="1"/>
    <col min="14850" max="14850" width="14.28515625" style="4" customWidth="1"/>
    <col min="14851" max="14851" width="69.85546875" style="4" customWidth="1"/>
    <col min="14852" max="14852" width="10.42578125" style="4" customWidth="1"/>
    <col min="14853" max="14853" width="10.5703125" style="4" customWidth="1"/>
    <col min="14854" max="14854" width="10.7109375" style="4" customWidth="1"/>
    <col min="14855" max="14855" width="14.28515625" style="4" customWidth="1"/>
    <col min="14856" max="15104" width="8.85546875" style="4"/>
    <col min="15105" max="15105" width="6.42578125" style="4" customWidth="1"/>
    <col min="15106" max="15106" width="14.28515625" style="4" customWidth="1"/>
    <col min="15107" max="15107" width="69.85546875" style="4" customWidth="1"/>
    <col min="15108" max="15108" width="10.42578125" style="4" customWidth="1"/>
    <col min="15109" max="15109" width="10.5703125" style="4" customWidth="1"/>
    <col min="15110" max="15110" width="10.7109375" style="4" customWidth="1"/>
    <col min="15111" max="15111" width="14.28515625" style="4" customWidth="1"/>
    <col min="15112" max="15360" width="8.85546875" style="4"/>
    <col min="15361" max="15361" width="6.42578125" style="4" customWidth="1"/>
    <col min="15362" max="15362" width="14.28515625" style="4" customWidth="1"/>
    <col min="15363" max="15363" width="69.85546875" style="4" customWidth="1"/>
    <col min="15364" max="15364" width="10.42578125" style="4" customWidth="1"/>
    <col min="15365" max="15365" width="10.5703125" style="4" customWidth="1"/>
    <col min="15366" max="15366" width="10.7109375" style="4" customWidth="1"/>
    <col min="15367" max="15367" width="14.28515625" style="4" customWidth="1"/>
    <col min="15368" max="15616" width="8.85546875" style="4"/>
    <col min="15617" max="15617" width="6.42578125" style="4" customWidth="1"/>
    <col min="15618" max="15618" width="14.28515625" style="4" customWidth="1"/>
    <col min="15619" max="15619" width="69.85546875" style="4" customWidth="1"/>
    <col min="15620" max="15620" width="10.42578125" style="4" customWidth="1"/>
    <col min="15621" max="15621" width="10.5703125" style="4" customWidth="1"/>
    <col min="15622" max="15622" width="10.7109375" style="4" customWidth="1"/>
    <col min="15623" max="15623" width="14.28515625" style="4" customWidth="1"/>
    <col min="15624" max="15872" width="8.85546875" style="4"/>
    <col min="15873" max="15873" width="6.42578125" style="4" customWidth="1"/>
    <col min="15874" max="15874" width="14.28515625" style="4" customWidth="1"/>
    <col min="15875" max="15875" width="69.85546875" style="4" customWidth="1"/>
    <col min="15876" max="15876" width="10.42578125" style="4" customWidth="1"/>
    <col min="15877" max="15877" width="10.5703125" style="4" customWidth="1"/>
    <col min="15878" max="15878" width="10.7109375" style="4" customWidth="1"/>
    <col min="15879" max="15879" width="14.28515625" style="4" customWidth="1"/>
    <col min="15880" max="16128" width="8.85546875" style="4"/>
    <col min="16129" max="16129" width="6.42578125" style="4" customWidth="1"/>
    <col min="16130" max="16130" width="14.28515625" style="4" customWidth="1"/>
    <col min="16131" max="16131" width="69.85546875" style="4" customWidth="1"/>
    <col min="16132" max="16132" width="10.42578125" style="4" customWidth="1"/>
    <col min="16133" max="16133" width="10.5703125" style="4" customWidth="1"/>
    <col min="16134" max="16134" width="10.7109375" style="4" customWidth="1"/>
    <col min="16135" max="16135" width="14.28515625" style="4" customWidth="1"/>
    <col min="16136" max="16384" width="8.85546875" style="4"/>
  </cols>
  <sheetData>
    <row r="1" spans="1:7">
      <c r="A1" s="141"/>
      <c r="B1" s="141"/>
      <c r="C1" s="141"/>
      <c r="D1" s="141"/>
      <c r="E1" s="141"/>
      <c r="F1" s="316" t="s">
        <v>313</v>
      </c>
      <c r="G1" s="316"/>
    </row>
    <row r="2" spans="1:7" s="37" customFormat="1" ht="38.25" customHeight="1">
      <c r="A2" s="142" t="s">
        <v>93</v>
      </c>
      <c r="B2" s="142"/>
      <c r="C2" s="305" t="s">
        <v>94</v>
      </c>
      <c r="D2" s="305"/>
      <c r="E2" s="305"/>
      <c r="F2" s="305"/>
      <c r="G2" s="142"/>
    </row>
    <row r="3" spans="1:7" s="37" customFormat="1">
      <c r="A3" s="142"/>
      <c r="B3" s="142"/>
      <c r="C3" s="142"/>
      <c r="D3" s="143" t="s">
        <v>314</v>
      </c>
      <c r="E3" s="305" t="s">
        <v>100</v>
      </c>
      <c r="F3" s="305"/>
      <c r="G3" s="305"/>
    </row>
    <row r="4" spans="1:7" s="37" customFormat="1" ht="12">
      <c r="A4" s="142"/>
      <c r="B4" s="142"/>
      <c r="C4" s="142"/>
      <c r="D4" s="142"/>
      <c r="E4" s="142"/>
      <c r="F4" s="142"/>
      <c r="G4" s="142"/>
    </row>
    <row r="5" spans="1:7" s="37" customFormat="1" ht="15.75">
      <c r="A5" s="142"/>
      <c r="B5" s="142"/>
      <c r="C5" s="144" t="s">
        <v>315</v>
      </c>
      <c r="D5" s="317" t="s">
        <v>316</v>
      </c>
      <c r="E5" s="317"/>
      <c r="F5" s="317"/>
      <c r="G5" s="317"/>
    </row>
    <row r="6" spans="1:7" s="37" customFormat="1">
      <c r="A6" s="142"/>
      <c r="B6" s="142"/>
      <c r="C6" s="318" t="s">
        <v>317</v>
      </c>
      <c r="D6" s="318"/>
      <c r="E6" s="142"/>
      <c r="F6" s="142"/>
      <c r="G6" s="142"/>
    </row>
    <row r="7" spans="1:7" s="37" customFormat="1" ht="12">
      <c r="A7" s="142"/>
      <c r="B7" s="142"/>
      <c r="C7" s="145"/>
      <c r="D7" s="145"/>
      <c r="E7" s="142"/>
      <c r="F7" s="142"/>
      <c r="G7" s="142"/>
    </row>
    <row r="8" spans="1:7" s="37" customFormat="1">
      <c r="A8" s="142"/>
      <c r="B8" s="143" t="s">
        <v>318</v>
      </c>
      <c r="C8" s="305" t="s">
        <v>104</v>
      </c>
      <c r="D8" s="305"/>
      <c r="E8" s="305"/>
      <c r="F8" s="305"/>
      <c r="G8" s="142"/>
    </row>
    <row r="9" spans="1:7" s="37" customFormat="1">
      <c r="A9" s="142" t="s">
        <v>97</v>
      </c>
      <c r="B9" s="142"/>
      <c r="C9" s="305" t="s">
        <v>98</v>
      </c>
      <c r="D9" s="305"/>
      <c r="E9" s="305"/>
      <c r="F9" s="305"/>
      <c r="G9" s="142"/>
    </row>
    <row r="10" spans="1:7" s="37" customFormat="1">
      <c r="A10" s="142" t="s">
        <v>106</v>
      </c>
      <c r="B10" s="142"/>
      <c r="C10" s="305" t="s">
        <v>107</v>
      </c>
      <c r="D10" s="305"/>
      <c r="E10" s="305"/>
      <c r="F10" s="305"/>
      <c r="G10" s="142"/>
    </row>
    <row r="12" spans="1:7" s="37" customFormat="1">
      <c r="A12" s="306" t="s">
        <v>319</v>
      </c>
      <c r="B12" s="306"/>
      <c r="C12" s="306"/>
      <c r="D12" s="306"/>
      <c r="E12" s="306"/>
      <c r="F12" s="306"/>
      <c r="G12" s="141" t="s">
        <v>320</v>
      </c>
    </row>
    <row r="13" spans="1:7" ht="23.25" customHeight="1">
      <c r="A13" s="307" t="s">
        <v>321</v>
      </c>
      <c r="B13" s="307" t="s">
        <v>322</v>
      </c>
      <c r="C13" s="307" t="s">
        <v>323</v>
      </c>
      <c r="D13" s="307" t="s">
        <v>119</v>
      </c>
      <c r="E13" s="307" t="s">
        <v>324</v>
      </c>
      <c r="F13" s="309" t="s">
        <v>11</v>
      </c>
      <c r="G13" s="310"/>
    </row>
    <row r="14" spans="1:7">
      <c r="A14" s="308"/>
      <c r="B14" s="308"/>
      <c r="C14" s="308"/>
      <c r="D14" s="308"/>
      <c r="E14" s="308"/>
      <c r="F14" s="146" t="s">
        <v>325</v>
      </c>
      <c r="G14" s="146" t="s">
        <v>326</v>
      </c>
    </row>
    <row r="15" spans="1:7">
      <c r="A15" s="147">
        <v>1</v>
      </c>
      <c r="B15" s="146">
        <v>2</v>
      </c>
      <c r="C15" s="146">
        <v>3</v>
      </c>
      <c r="D15" s="146">
        <v>4</v>
      </c>
      <c r="E15" s="146">
        <v>5</v>
      </c>
      <c r="F15" s="146">
        <v>6</v>
      </c>
      <c r="G15" s="146">
        <v>7</v>
      </c>
    </row>
    <row r="16" spans="1:7">
      <c r="A16" s="311"/>
      <c r="B16" s="312"/>
      <c r="C16" s="312"/>
      <c r="D16" s="312"/>
      <c r="E16" s="312"/>
      <c r="F16" s="312"/>
      <c r="G16" s="313"/>
    </row>
    <row r="17" spans="1:7" ht="14.25">
      <c r="A17" s="148"/>
      <c r="B17" s="149"/>
      <c r="C17" s="150" t="s">
        <v>327</v>
      </c>
      <c r="D17" s="314"/>
      <c r="E17" s="314"/>
      <c r="F17" s="314"/>
      <c r="G17" s="315"/>
    </row>
    <row r="18" spans="1:7" s="157" customFormat="1" ht="25.5" outlineLevel="1">
      <c r="A18" s="151" t="s">
        <v>21</v>
      </c>
      <c r="B18" s="152" t="s">
        <v>140</v>
      </c>
      <c r="C18" s="153" t="s">
        <v>141</v>
      </c>
      <c r="D18" s="152" t="s">
        <v>142</v>
      </c>
      <c r="E18" s="154">
        <v>213.5778124</v>
      </c>
      <c r="F18" s="155">
        <v>5412</v>
      </c>
      <c r="G18" s="156">
        <v>1155883.1200000001</v>
      </c>
    </row>
    <row r="19" spans="1:7" hidden="1" outlineLevel="3">
      <c r="A19" s="158"/>
      <c r="B19" s="159"/>
      <c r="C19" s="160" t="s">
        <v>328</v>
      </c>
      <c r="D19" s="159"/>
      <c r="E19" s="161"/>
      <c r="F19" s="162"/>
      <c r="G19" s="162"/>
    </row>
    <row r="20" spans="1:7" hidden="1" outlineLevel="3">
      <c r="A20" s="158"/>
      <c r="B20" s="159"/>
      <c r="C20" s="160" t="s">
        <v>21</v>
      </c>
      <c r="D20" s="159" t="s">
        <v>142</v>
      </c>
      <c r="E20" s="163">
        <v>104.676624</v>
      </c>
      <c r="F20" s="164">
        <v>5412</v>
      </c>
      <c r="G20" s="164">
        <v>566509.89</v>
      </c>
    </row>
    <row r="21" spans="1:7" hidden="1" outlineLevel="3">
      <c r="A21" s="158"/>
      <c r="B21" s="159"/>
      <c r="C21" s="160" t="s">
        <v>34</v>
      </c>
      <c r="D21" s="159" t="s">
        <v>142</v>
      </c>
      <c r="E21" s="163">
        <v>63.566445600000002</v>
      </c>
      <c r="F21" s="164">
        <v>5412</v>
      </c>
      <c r="G21" s="164">
        <v>344021.6</v>
      </c>
    </row>
    <row r="22" spans="1:7" hidden="1" outlineLevel="3">
      <c r="A22" s="158"/>
      <c r="B22" s="159"/>
      <c r="C22" s="160" t="s">
        <v>52</v>
      </c>
      <c r="D22" s="159" t="s">
        <v>142</v>
      </c>
      <c r="E22" s="163">
        <v>4.3838927999999999</v>
      </c>
      <c r="F22" s="164">
        <v>5412</v>
      </c>
      <c r="G22" s="164">
        <v>23725.63</v>
      </c>
    </row>
    <row r="23" spans="1:7" hidden="1" outlineLevel="3">
      <c r="A23" s="158"/>
      <c r="B23" s="159"/>
      <c r="C23" s="160" t="s">
        <v>68</v>
      </c>
      <c r="D23" s="159" t="s">
        <v>142</v>
      </c>
      <c r="E23" s="163">
        <v>4.6048</v>
      </c>
      <c r="F23" s="164">
        <v>5412</v>
      </c>
      <c r="G23" s="164">
        <v>24921.18</v>
      </c>
    </row>
    <row r="24" spans="1:7" hidden="1" outlineLevel="3">
      <c r="A24" s="158"/>
      <c r="B24" s="159"/>
      <c r="C24" s="160" t="s">
        <v>76</v>
      </c>
      <c r="D24" s="159" t="s">
        <v>142</v>
      </c>
      <c r="E24" s="163">
        <v>36.346049999999998</v>
      </c>
      <c r="F24" s="164">
        <v>5412</v>
      </c>
      <c r="G24" s="164">
        <v>196704.82</v>
      </c>
    </row>
    <row r="25" spans="1:7" s="157" customFormat="1" ht="25.5" outlineLevel="1" collapsed="1">
      <c r="A25" s="151" t="s">
        <v>32</v>
      </c>
      <c r="B25" s="152" t="s">
        <v>181</v>
      </c>
      <c r="C25" s="153" t="s">
        <v>182</v>
      </c>
      <c r="D25" s="152" t="s">
        <v>142</v>
      </c>
      <c r="E25" s="154">
        <v>181.83358548000001</v>
      </c>
      <c r="F25" s="155">
        <v>5590</v>
      </c>
      <c r="G25" s="156">
        <v>1016449.74</v>
      </c>
    </row>
    <row r="26" spans="1:7" hidden="1" outlineLevel="3">
      <c r="A26" s="158"/>
      <c r="B26" s="159"/>
      <c r="C26" s="160" t="s">
        <v>328</v>
      </c>
      <c r="D26" s="159"/>
      <c r="E26" s="161"/>
      <c r="F26" s="162"/>
      <c r="G26" s="162"/>
    </row>
    <row r="27" spans="1:7" hidden="1" outlineLevel="3">
      <c r="A27" s="158"/>
      <c r="B27" s="159"/>
      <c r="C27" s="160" t="s">
        <v>38</v>
      </c>
      <c r="D27" s="159" t="s">
        <v>142</v>
      </c>
      <c r="E27" s="163">
        <v>17.292000000000002</v>
      </c>
      <c r="F27" s="164">
        <v>5590</v>
      </c>
      <c r="G27" s="164">
        <v>96662.28</v>
      </c>
    </row>
    <row r="28" spans="1:7" hidden="1" outlineLevel="3">
      <c r="A28" s="158"/>
      <c r="B28" s="159"/>
      <c r="C28" s="160" t="s">
        <v>42</v>
      </c>
      <c r="D28" s="159" t="s">
        <v>142</v>
      </c>
      <c r="E28" s="163">
        <v>8.3840000000000003</v>
      </c>
      <c r="F28" s="164">
        <v>5590</v>
      </c>
      <c r="G28" s="164">
        <v>46866.559999999998</v>
      </c>
    </row>
    <row r="29" spans="1:7" hidden="1" outlineLevel="3">
      <c r="A29" s="158"/>
      <c r="B29" s="159"/>
      <c r="C29" s="160" t="s">
        <v>46</v>
      </c>
      <c r="D29" s="159" t="s">
        <v>142</v>
      </c>
      <c r="E29" s="163">
        <v>153.81100000000001</v>
      </c>
      <c r="F29" s="164">
        <v>5590</v>
      </c>
      <c r="G29" s="164">
        <v>859803.49</v>
      </c>
    </row>
    <row r="30" spans="1:7" hidden="1" outlineLevel="3">
      <c r="A30" s="158"/>
      <c r="B30" s="159"/>
      <c r="C30" s="160" t="s">
        <v>58</v>
      </c>
      <c r="D30" s="159" t="s">
        <v>142</v>
      </c>
      <c r="E30" s="163">
        <v>2.3465854799999999</v>
      </c>
      <c r="F30" s="164">
        <v>5590</v>
      </c>
      <c r="G30" s="164">
        <v>13117.41</v>
      </c>
    </row>
    <row r="31" spans="1:7" s="157" customFormat="1" ht="38.25" outlineLevel="1" collapsed="1">
      <c r="A31" s="151" t="s">
        <v>34</v>
      </c>
      <c r="B31" s="152" t="s">
        <v>245</v>
      </c>
      <c r="C31" s="153" t="s">
        <v>246</v>
      </c>
      <c r="D31" s="152" t="s">
        <v>142</v>
      </c>
      <c r="E31" s="154">
        <v>20.510400000000001</v>
      </c>
      <c r="F31" s="155">
        <v>5417</v>
      </c>
      <c r="G31" s="156">
        <v>111104.84</v>
      </c>
    </row>
    <row r="32" spans="1:7" hidden="1" outlineLevel="3">
      <c r="A32" s="158"/>
      <c r="B32" s="159"/>
      <c r="C32" s="160" t="s">
        <v>60</v>
      </c>
      <c r="D32" s="159" t="s">
        <v>142</v>
      </c>
      <c r="E32" s="163">
        <v>20.510400000000001</v>
      </c>
      <c r="F32" s="164">
        <v>5417</v>
      </c>
      <c r="G32" s="164">
        <v>111104.84</v>
      </c>
    </row>
    <row r="33" spans="1:7" s="157" customFormat="1" ht="25.5" outlineLevel="1" collapsed="1">
      <c r="A33" s="151" t="s">
        <v>36</v>
      </c>
      <c r="B33" s="152" t="s">
        <v>287</v>
      </c>
      <c r="C33" s="153" t="s">
        <v>288</v>
      </c>
      <c r="D33" s="152" t="s">
        <v>142</v>
      </c>
      <c r="E33" s="154">
        <v>5.9214399999999996</v>
      </c>
      <c r="F33" s="155">
        <v>5026</v>
      </c>
      <c r="G33" s="156">
        <v>29761.16</v>
      </c>
    </row>
    <row r="34" spans="1:7" hidden="1" outlineLevel="3">
      <c r="A34" s="158"/>
      <c r="B34" s="159"/>
      <c r="C34" s="160" t="s">
        <v>72</v>
      </c>
      <c r="D34" s="159" t="s">
        <v>142</v>
      </c>
      <c r="E34" s="163">
        <v>5.9214399999999996</v>
      </c>
      <c r="F34" s="164">
        <v>5026</v>
      </c>
      <c r="G34" s="164">
        <v>29761.16</v>
      </c>
    </row>
    <row r="35" spans="1:7" s="157" customFormat="1" ht="25.5" outlineLevel="1" collapsed="1">
      <c r="A35" s="151" t="s">
        <v>38</v>
      </c>
      <c r="B35" s="152" t="s">
        <v>257</v>
      </c>
      <c r="C35" s="153" t="s">
        <v>258</v>
      </c>
      <c r="D35" s="152" t="s">
        <v>142</v>
      </c>
      <c r="E35" s="154">
        <v>3.6317614100000002</v>
      </c>
      <c r="F35" s="155">
        <v>4978</v>
      </c>
      <c r="G35" s="156">
        <v>18078.91</v>
      </c>
    </row>
    <row r="36" spans="1:7" hidden="1" outlineLevel="3">
      <c r="A36" s="158"/>
      <c r="B36" s="159"/>
      <c r="C36" s="160" t="s">
        <v>62</v>
      </c>
      <c r="D36" s="159" t="s">
        <v>142</v>
      </c>
      <c r="E36" s="163">
        <v>3.6317614100000002</v>
      </c>
      <c r="F36" s="164">
        <v>4978</v>
      </c>
      <c r="G36" s="164">
        <v>18078.91</v>
      </c>
    </row>
    <row r="37" spans="1:7" collapsed="1">
      <c r="A37" s="165"/>
      <c r="B37" s="166"/>
      <c r="C37" s="167" t="s">
        <v>329</v>
      </c>
      <c r="D37" s="168" t="s">
        <v>320</v>
      </c>
      <c r="E37" s="168"/>
      <c r="F37" s="168"/>
      <c r="G37" s="169">
        <v>2330488</v>
      </c>
    </row>
    <row r="38" spans="1:7">
      <c r="A38" s="165"/>
      <c r="B38" s="166"/>
      <c r="C38" s="167" t="s">
        <v>330</v>
      </c>
      <c r="D38" s="168" t="s">
        <v>142</v>
      </c>
      <c r="E38" s="170">
        <v>425.47500000000002</v>
      </c>
      <c r="F38" s="168"/>
      <c r="G38" s="171"/>
    </row>
    <row r="39" spans="1:7">
      <c r="A39" s="172"/>
      <c r="B39" s="173"/>
      <c r="C39" s="174"/>
      <c r="D39" s="175"/>
      <c r="E39" s="176"/>
      <c r="F39" s="177"/>
      <c r="G39" s="178"/>
    </row>
    <row r="40" spans="1:7" ht="14.25">
      <c r="A40" s="148"/>
      <c r="B40" s="149"/>
      <c r="C40" s="150" t="s">
        <v>331</v>
      </c>
      <c r="D40" s="297"/>
      <c r="E40" s="297"/>
      <c r="F40" s="297"/>
      <c r="G40" s="298"/>
    </row>
    <row r="41" spans="1:7" s="157" customFormat="1" outlineLevel="1">
      <c r="A41" s="151" t="s">
        <v>21</v>
      </c>
      <c r="B41" s="152" t="s">
        <v>332</v>
      </c>
      <c r="C41" s="153" t="s">
        <v>144</v>
      </c>
      <c r="D41" s="152" t="s">
        <v>333</v>
      </c>
      <c r="E41" s="154">
        <v>28.93131627</v>
      </c>
      <c r="F41" s="156">
        <v>3288.07</v>
      </c>
      <c r="G41" s="179" t="s">
        <v>334</v>
      </c>
    </row>
    <row r="42" spans="1:7" hidden="1" outlineLevel="3">
      <c r="A42" s="158"/>
      <c r="B42" s="159"/>
      <c r="C42" s="160" t="s">
        <v>328</v>
      </c>
      <c r="D42" s="159"/>
      <c r="E42" s="161"/>
      <c r="F42" s="162"/>
      <c r="G42" s="162"/>
    </row>
    <row r="43" spans="1:7" hidden="1" outlineLevel="3">
      <c r="A43" s="158"/>
      <c r="B43" s="159"/>
      <c r="C43" s="160" t="s">
        <v>21</v>
      </c>
      <c r="D43" s="159" t="s">
        <v>333</v>
      </c>
      <c r="E43" s="163">
        <v>5.7283200000000001</v>
      </c>
      <c r="F43" s="162"/>
      <c r="G43" s="162"/>
    </row>
    <row r="44" spans="1:7" hidden="1" outlineLevel="3">
      <c r="A44" s="158"/>
      <c r="B44" s="159"/>
      <c r="C44" s="160" t="s">
        <v>34</v>
      </c>
      <c r="D44" s="159" t="s">
        <v>333</v>
      </c>
      <c r="E44" s="163">
        <v>4.0465439999999999</v>
      </c>
      <c r="F44" s="162"/>
      <c r="G44" s="162"/>
    </row>
    <row r="45" spans="1:7" hidden="1" outlineLevel="3">
      <c r="A45" s="158"/>
      <c r="B45" s="159"/>
      <c r="C45" s="160" t="s">
        <v>38</v>
      </c>
      <c r="D45" s="159" t="s">
        <v>333</v>
      </c>
      <c r="E45" s="163">
        <v>1.32</v>
      </c>
      <c r="F45" s="162"/>
      <c r="G45" s="162"/>
    </row>
    <row r="46" spans="1:7" hidden="1" outlineLevel="3">
      <c r="A46" s="158"/>
      <c r="B46" s="159"/>
      <c r="C46" s="160" t="s">
        <v>42</v>
      </c>
      <c r="D46" s="159" t="s">
        <v>333</v>
      </c>
      <c r="E46" s="163">
        <v>2.56</v>
      </c>
      <c r="F46" s="162"/>
      <c r="G46" s="162"/>
    </row>
    <row r="47" spans="1:7" hidden="1" outlineLevel="3">
      <c r="A47" s="158"/>
      <c r="B47" s="159"/>
      <c r="C47" s="160" t="s">
        <v>46</v>
      </c>
      <c r="D47" s="159" t="s">
        <v>333</v>
      </c>
      <c r="E47" s="163">
        <v>4.9000000000000004</v>
      </c>
      <c r="F47" s="162"/>
      <c r="G47" s="162"/>
    </row>
    <row r="48" spans="1:7" hidden="1" outlineLevel="3">
      <c r="A48" s="158"/>
      <c r="B48" s="159"/>
      <c r="C48" s="160" t="s">
        <v>52</v>
      </c>
      <c r="D48" s="159" t="s">
        <v>333</v>
      </c>
      <c r="E48" s="163">
        <v>0.23990400000000001</v>
      </c>
      <c r="F48" s="162"/>
      <c r="G48" s="162"/>
    </row>
    <row r="49" spans="1:7" hidden="1" outlineLevel="3">
      <c r="A49" s="158"/>
      <c r="B49" s="159"/>
      <c r="C49" s="160" t="s">
        <v>58</v>
      </c>
      <c r="D49" s="159" t="s">
        <v>333</v>
      </c>
      <c r="E49" s="163">
        <v>0.25191896000000003</v>
      </c>
      <c r="F49" s="162"/>
      <c r="G49" s="162"/>
    </row>
    <row r="50" spans="1:7" hidden="1" outlineLevel="3">
      <c r="A50" s="158"/>
      <c r="B50" s="159"/>
      <c r="C50" s="160" t="s">
        <v>60</v>
      </c>
      <c r="D50" s="159" t="s">
        <v>333</v>
      </c>
      <c r="E50" s="163">
        <v>5.6639999999999997</v>
      </c>
      <c r="F50" s="162"/>
      <c r="G50" s="162"/>
    </row>
    <row r="51" spans="1:7" hidden="1" outlineLevel="3">
      <c r="A51" s="158"/>
      <c r="B51" s="159"/>
      <c r="C51" s="160" t="s">
        <v>62</v>
      </c>
      <c r="D51" s="159" t="s">
        <v>333</v>
      </c>
      <c r="E51" s="163">
        <v>3.9629310000000001E-2</v>
      </c>
      <c r="F51" s="162"/>
      <c r="G51" s="162"/>
    </row>
    <row r="52" spans="1:7" hidden="1" outlineLevel="3">
      <c r="A52" s="158"/>
      <c r="B52" s="159"/>
      <c r="C52" s="160" t="s">
        <v>68</v>
      </c>
      <c r="D52" s="159" t="s">
        <v>333</v>
      </c>
      <c r="E52" s="163">
        <v>0.83199999999999996</v>
      </c>
      <c r="F52" s="162"/>
      <c r="G52" s="162"/>
    </row>
    <row r="53" spans="1:7" hidden="1" outlineLevel="3">
      <c r="A53" s="158"/>
      <c r="B53" s="159"/>
      <c r="C53" s="160" t="s">
        <v>72</v>
      </c>
      <c r="D53" s="159" t="s">
        <v>333</v>
      </c>
      <c r="E53" s="163">
        <v>1.36</v>
      </c>
      <c r="F53" s="162"/>
      <c r="G53" s="162"/>
    </row>
    <row r="54" spans="1:7" hidden="1" outlineLevel="3">
      <c r="A54" s="158"/>
      <c r="B54" s="159"/>
      <c r="C54" s="160" t="s">
        <v>76</v>
      </c>
      <c r="D54" s="159" t="s">
        <v>333</v>
      </c>
      <c r="E54" s="163">
        <v>1.9890000000000001</v>
      </c>
      <c r="F54" s="162"/>
      <c r="G54" s="162"/>
    </row>
    <row r="55" spans="1:7" collapsed="1">
      <c r="A55" s="165"/>
      <c r="B55" s="166"/>
      <c r="C55" s="167" t="s">
        <v>335</v>
      </c>
      <c r="D55" s="168" t="s">
        <v>320</v>
      </c>
      <c r="E55" s="168"/>
      <c r="F55" s="168"/>
      <c r="G55" s="169">
        <v>2330488</v>
      </c>
    </row>
    <row r="56" spans="1:7">
      <c r="A56" s="172"/>
      <c r="B56" s="173"/>
      <c r="C56" s="174"/>
      <c r="D56" s="175"/>
      <c r="E56" s="176"/>
      <c r="F56" s="177"/>
      <c r="G56" s="178"/>
    </row>
    <row r="57" spans="1:7" ht="14.25">
      <c r="A57" s="148"/>
      <c r="B57" s="149"/>
      <c r="C57" s="150" t="s">
        <v>336</v>
      </c>
      <c r="D57" s="297"/>
      <c r="E57" s="297"/>
      <c r="F57" s="297"/>
      <c r="G57" s="298"/>
    </row>
    <row r="58" spans="1:7">
      <c r="A58" s="299" t="s">
        <v>337</v>
      </c>
      <c r="B58" s="300"/>
      <c r="C58" s="300"/>
      <c r="D58" s="300"/>
      <c r="E58" s="300"/>
      <c r="F58" s="300"/>
      <c r="G58" s="301"/>
    </row>
    <row r="59" spans="1:7" s="157" customFormat="1" outlineLevel="1">
      <c r="A59" s="151" t="s">
        <v>21</v>
      </c>
      <c r="B59" s="152" t="s">
        <v>150</v>
      </c>
      <c r="C59" s="153" t="s">
        <v>151</v>
      </c>
      <c r="D59" s="152" t="s">
        <v>148</v>
      </c>
      <c r="E59" s="154">
        <v>11.38298359</v>
      </c>
      <c r="F59" s="155">
        <v>12979</v>
      </c>
      <c r="G59" s="180">
        <v>147739.74</v>
      </c>
    </row>
    <row r="60" spans="1:7" outlineLevel="2">
      <c r="A60" s="181"/>
      <c r="B60" s="182"/>
      <c r="C60" s="183" t="s">
        <v>338</v>
      </c>
      <c r="D60" s="184" t="s">
        <v>333</v>
      </c>
      <c r="E60" s="185">
        <v>11.38298359</v>
      </c>
      <c r="F60" s="185">
        <v>3888</v>
      </c>
      <c r="G60" s="185">
        <v>44257.04</v>
      </c>
    </row>
    <row r="61" spans="1:7" hidden="1" outlineLevel="3">
      <c r="A61" s="158"/>
      <c r="B61" s="159"/>
      <c r="C61" s="160" t="s">
        <v>328</v>
      </c>
      <c r="D61" s="159"/>
      <c r="E61" s="161"/>
      <c r="F61" s="162"/>
      <c r="G61" s="162"/>
    </row>
    <row r="62" spans="1:7" hidden="1" outlineLevel="3">
      <c r="A62" s="158"/>
      <c r="B62" s="159"/>
      <c r="C62" s="160" t="s">
        <v>21</v>
      </c>
      <c r="D62" s="159" t="s">
        <v>148</v>
      </c>
      <c r="E62" s="163">
        <v>2.8648339200000001</v>
      </c>
      <c r="F62" s="164">
        <v>12979</v>
      </c>
      <c r="G62" s="164">
        <v>37182.68</v>
      </c>
    </row>
    <row r="63" spans="1:7" hidden="1" outlineLevel="3">
      <c r="A63" s="158"/>
      <c r="B63" s="159"/>
      <c r="C63" s="160" t="s">
        <v>34</v>
      </c>
      <c r="D63" s="159" t="s">
        <v>148</v>
      </c>
      <c r="E63" s="163">
        <v>2.02374806</v>
      </c>
      <c r="F63" s="164">
        <v>12979</v>
      </c>
      <c r="G63" s="164">
        <v>26266.23</v>
      </c>
    </row>
    <row r="64" spans="1:7" hidden="1" outlineLevel="3">
      <c r="A64" s="158"/>
      <c r="B64" s="159"/>
      <c r="C64" s="160" t="s">
        <v>38</v>
      </c>
      <c r="D64" s="159" t="s">
        <v>148</v>
      </c>
      <c r="E64" s="163">
        <v>0.94960800000000001</v>
      </c>
      <c r="F64" s="164">
        <v>12979</v>
      </c>
      <c r="G64" s="164">
        <v>12324.96</v>
      </c>
    </row>
    <row r="65" spans="1:7" hidden="1" outlineLevel="3">
      <c r="A65" s="158"/>
      <c r="B65" s="159"/>
      <c r="C65" s="160" t="s">
        <v>42</v>
      </c>
      <c r="D65" s="159" t="s">
        <v>148</v>
      </c>
      <c r="E65" s="163">
        <v>1.2556799999999999</v>
      </c>
      <c r="F65" s="164">
        <v>12979</v>
      </c>
      <c r="G65" s="164">
        <v>16297.47</v>
      </c>
    </row>
    <row r="66" spans="1:7" hidden="1" outlineLevel="3">
      <c r="A66" s="158"/>
      <c r="B66" s="159"/>
      <c r="C66" s="160" t="s">
        <v>46</v>
      </c>
      <c r="D66" s="159" t="s">
        <v>148</v>
      </c>
      <c r="E66" s="163">
        <v>2.6277720000000002</v>
      </c>
      <c r="F66" s="164">
        <v>12979</v>
      </c>
      <c r="G66" s="164">
        <v>34105.85</v>
      </c>
    </row>
    <row r="67" spans="1:7" hidden="1" outlineLevel="3">
      <c r="A67" s="158"/>
      <c r="B67" s="159"/>
      <c r="C67" s="160" t="s">
        <v>52</v>
      </c>
      <c r="D67" s="159" t="s">
        <v>148</v>
      </c>
      <c r="E67" s="163">
        <v>0.11998022</v>
      </c>
      <c r="F67" s="164">
        <v>12979</v>
      </c>
      <c r="G67" s="164">
        <v>1557.22</v>
      </c>
    </row>
    <row r="68" spans="1:7" hidden="1" outlineLevel="3">
      <c r="A68" s="158"/>
      <c r="B68" s="159"/>
      <c r="C68" s="160" t="s">
        <v>58</v>
      </c>
      <c r="D68" s="159" t="s">
        <v>148</v>
      </c>
      <c r="E68" s="163">
        <v>0.12597459</v>
      </c>
      <c r="F68" s="164">
        <v>12979</v>
      </c>
      <c r="G68" s="164">
        <v>1635.02</v>
      </c>
    </row>
    <row r="69" spans="1:7" hidden="1" outlineLevel="3">
      <c r="A69" s="158"/>
      <c r="B69" s="159"/>
      <c r="C69" s="160" t="s">
        <v>68</v>
      </c>
      <c r="D69" s="159" t="s">
        <v>148</v>
      </c>
      <c r="E69" s="163">
        <v>0.42065279999999999</v>
      </c>
      <c r="F69" s="164">
        <v>12979</v>
      </c>
      <c r="G69" s="164">
        <v>5459.65</v>
      </c>
    </row>
    <row r="70" spans="1:7" hidden="1" outlineLevel="3">
      <c r="A70" s="158"/>
      <c r="B70" s="159"/>
      <c r="C70" s="160" t="s">
        <v>76</v>
      </c>
      <c r="D70" s="159" t="s">
        <v>148</v>
      </c>
      <c r="E70" s="163">
        <v>0.99473400000000001</v>
      </c>
      <c r="F70" s="164">
        <v>12979</v>
      </c>
      <c r="G70" s="164">
        <v>12910.65</v>
      </c>
    </row>
    <row r="71" spans="1:7" s="157" customFormat="1" outlineLevel="1" collapsed="1">
      <c r="A71" s="151" t="s">
        <v>32</v>
      </c>
      <c r="B71" s="152" t="s">
        <v>154</v>
      </c>
      <c r="C71" s="153" t="s">
        <v>155</v>
      </c>
      <c r="D71" s="152" t="s">
        <v>148</v>
      </c>
      <c r="E71" s="154">
        <v>11.427794390000001</v>
      </c>
      <c r="F71" s="155">
        <v>8363</v>
      </c>
      <c r="G71" s="180">
        <v>95570.64</v>
      </c>
    </row>
    <row r="72" spans="1:7" outlineLevel="2">
      <c r="A72" s="181"/>
      <c r="B72" s="182"/>
      <c r="C72" s="183" t="s">
        <v>338</v>
      </c>
      <c r="D72" s="184" t="s">
        <v>333</v>
      </c>
      <c r="E72" s="185">
        <v>11.427794392999999</v>
      </c>
      <c r="F72" s="185">
        <v>2722</v>
      </c>
      <c r="G72" s="185">
        <v>31106.46</v>
      </c>
    </row>
    <row r="73" spans="1:7" hidden="1" outlineLevel="3">
      <c r="A73" s="158"/>
      <c r="B73" s="159"/>
      <c r="C73" s="160" t="s">
        <v>328</v>
      </c>
      <c r="D73" s="159"/>
      <c r="E73" s="161"/>
      <c r="F73" s="162"/>
      <c r="G73" s="162"/>
    </row>
    <row r="74" spans="1:7" hidden="1" outlineLevel="3">
      <c r="A74" s="158"/>
      <c r="B74" s="159"/>
      <c r="C74" s="160" t="s">
        <v>21</v>
      </c>
      <c r="D74" s="159" t="s">
        <v>148</v>
      </c>
      <c r="E74" s="163">
        <v>2.8648339200000001</v>
      </c>
      <c r="F74" s="164">
        <v>8363</v>
      </c>
      <c r="G74" s="164">
        <v>23958.61</v>
      </c>
    </row>
    <row r="75" spans="1:7" hidden="1" outlineLevel="3">
      <c r="A75" s="158"/>
      <c r="B75" s="159"/>
      <c r="C75" s="160" t="s">
        <v>34</v>
      </c>
      <c r="D75" s="159" t="s">
        <v>148</v>
      </c>
      <c r="E75" s="163">
        <v>2.02374806</v>
      </c>
      <c r="F75" s="164">
        <v>8363</v>
      </c>
      <c r="G75" s="164">
        <v>16924.61</v>
      </c>
    </row>
    <row r="76" spans="1:7" hidden="1" outlineLevel="3">
      <c r="A76" s="158"/>
      <c r="B76" s="159"/>
      <c r="C76" s="160" t="s">
        <v>38</v>
      </c>
      <c r="D76" s="159" t="s">
        <v>148</v>
      </c>
      <c r="E76" s="163">
        <v>0.94960800000000001</v>
      </c>
      <c r="F76" s="164">
        <v>8363</v>
      </c>
      <c r="G76" s="164">
        <v>7941.57</v>
      </c>
    </row>
    <row r="77" spans="1:7" hidden="1" outlineLevel="3">
      <c r="A77" s="158"/>
      <c r="B77" s="159"/>
      <c r="C77" s="160" t="s">
        <v>42</v>
      </c>
      <c r="D77" s="159" t="s">
        <v>148</v>
      </c>
      <c r="E77" s="163">
        <v>1.2556799999999999</v>
      </c>
      <c r="F77" s="164">
        <v>8363</v>
      </c>
      <c r="G77" s="164">
        <v>10501.25</v>
      </c>
    </row>
    <row r="78" spans="1:7" hidden="1" outlineLevel="3">
      <c r="A78" s="158"/>
      <c r="B78" s="159"/>
      <c r="C78" s="160" t="s">
        <v>46</v>
      </c>
      <c r="D78" s="159" t="s">
        <v>148</v>
      </c>
      <c r="E78" s="163">
        <v>2.6277720000000002</v>
      </c>
      <c r="F78" s="164">
        <v>8363</v>
      </c>
      <c r="G78" s="164">
        <v>21976.06</v>
      </c>
    </row>
    <row r="79" spans="1:7" hidden="1" outlineLevel="3">
      <c r="A79" s="158"/>
      <c r="B79" s="159"/>
      <c r="C79" s="160" t="s">
        <v>52</v>
      </c>
      <c r="D79" s="159" t="s">
        <v>148</v>
      </c>
      <c r="E79" s="163">
        <v>0.11998022</v>
      </c>
      <c r="F79" s="164">
        <v>8363</v>
      </c>
      <c r="G79" s="164">
        <v>1003.39</v>
      </c>
    </row>
    <row r="80" spans="1:7" hidden="1" outlineLevel="3">
      <c r="A80" s="158"/>
      <c r="B80" s="159"/>
      <c r="C80" s="160" t="s">
        <v>58</v>
      </c>
      <c r="D80" s="159" t="s">
        <v>148</v>
      </c>
      <c r="E80" s="163">
        <v>0.12597459</v>
      </c>
      <c r="F80" s="164">
        <v>8363</v>
      </c>
      <c r="G80" s="164">
        <v>1053.53</v>
      </c>
    </row>
    <row r="81" spans="1:7" hidden="1" outlineLevel="3">
      <c r="A81" s="158"/>
      <c r="B81" s="159"/>
      <c r="C81" s="160" t="s">
        <v>62</v>
      </c>
      <c r="D81" s="159" t="s">
        <v>148</v>
      </c>
      <c r="E81" s="163">
        <v>8.2539999999999992E-3</v>
      </c>
      <c r="F81" s="164">
        <v>8363</v>
      </c>
      <c r="G81" s="164">
        <v>69.03</v>
      </c>
    </row>
    <row r="82" spans="1:7" hidden="1" outlineLevel="3">
      <c r="A82" s="158"/>
      <c r="B82" s="159"/>
      <c r="C82" s="160" t="s">
        <v>68</v>
      </c>
      <c r="D82" s="159" t="s">
        <v>148</v>
      </c>
      <c r="E82" s="163">
        <v>0.42065279999999999</v>
      </c>
      <c r="F82" s="164">
        <v>8363</v>
      </c>
      <c r="G82" s="164">
        <v>3517.92</v>
      </c>
    </row>
    <row r="83" spans="1:7" hidden="1" outlineLevel="3">
      <c r="A83" s="158"/>
      <c r="B83" s="159"/>
      <c r="C83" s="160" t="s">
        <v>72</v>
      </c>
      <c r="D83" s="159" t="s">
        <v>148</v>
      </c>
      <c r="E83" s="163">
        <v>3.65568E-2</v>
      </c>
      <c r="F83" s="164">
        <v>8363</v>
      </c>
      <c r="G83" s="164">
        <v>305.72000000000003</v>
      </c>
    </row>
    <row r="84" spans="1:7" hidden="1" outlineLevel="3">
      <c r="A84" s="158"/>
      <c r="B84" s="159"/>
      <c r="C84" s="160" t="s">
        <v>76</v>
      </c>
      <c r="D84" s="159" t="s">
        <v>148</v>
      </c>
      <c r="E84" s="163">
        <v>0.99473400000000001</v>
      </c>
      <c r="F84" s="164">
        <v>8363</v>
      </c>
      <c r="G84" s="164">
        <v>8318.9599999999991</v>
      </c>
    </row>
    <row r="85" spans="1:7" collapsed="1">
      <c r="A85" s="302" t="s">
        <v>339</v>
      </c>
      <c r="B85" s="303"/>
      <c r="C85" s="303"/>
      <c r="D85" s="303"/>
      <c r="E85" s="303"/>
      <c r="F85" s="303"/>
      <c r="G85" s="304"/>
    </row>
    <row r="86" spans="1:7" s="157" customFormat="1" ht="28.5" outlineLevel="1">
      <c r="A86" s="151" t="s">
        <v>34</v>
      </c>
      <c r="B86" s="152" t="s">
        <v>249</v>
      </c>
      <c r="C86" s="153" t="s">
        <v>340</v>
      </c>
      <c r="D86" s="152" t="s">
        <v>148</v>
      </c>
      <c r="E86" s="154">
        <v>7.01008896</v>
      </c>
      <c r="F86" s="155">
        <v>8456</v>
      </c>
      <c r="G86" s="186">
        <v>59277.31</v>
      </c>
    </row>
    <row r="87" spans="1:7" outlineLevel="2">
      <c r="A87" s="181"/>
      <c r="B87" s="182"/>
      <c r="C87" s="183" t="s">
        <v>338</v>
      </c>
      <c r="D87" s="184" t="s">
        <v>333</v>
      </c>
      <c r="E87" s="185">
        <v>7.01008896</v>
      </c>
      <c r="F87" s="185">
        <v>2722</v>
      </c>
      <c r="G87" s="185">
        <v>19081.46</v>
      </c>
    </row>
    <row r="88" spans="1:7" hidden="1" outlineLevel="3">
      <c r="A88" s="158"/>
      <c r="B88" s="159"/>
      <c r="C88" s="160" t="s">
        <v>328</v>
      </c>
      <c r="D88" s="159"/>
      <c r="E88" s="161"/>
      <c r="F88" s="162"/>
      <c r="G88" s="162"/>
    </row>
    <row r="89" spans="1:7" hidden="1" outlineLevel="3">
      <c r="A89" s="158"/>
      <c r="B89" s="159"/>
      <c r="C89" s="160" t="s">
        <v>60</v>
      </c>
      <c r="D89" s="159" t="s">
        <v>148</v>
      </c>
      <c r="E89" s="163">
        <v>5.6684543999999999</v>
      </c>
      <c r="F89" s="164">
        <v>8456</v>
      </c>
      <c r="G89" s="164">
        <v>47932.45</v>
      </c>
    </row>
    <row r="90" spans="1:7" hidden="1" outlineLevel="3">
      <c r="A90" s="158"/>
      <c r="B90" s="159"/>
      <c r="C90" s="160" t="s">
        <v>72</v>
      </c>
      <c r="D90" s="159" t="s">
        <v>148</v>
      </c>
      <c r="E90" s="163">
        <v>1.3416345599999999</v>
      </c>
      <c r="F90" s="164">
        <v>8456</v>
      </c>
      <c r="G90" s="164">
        <v>11344.86</v>
      </c>
    </row>
    <row r="91" spans="1:7" collapsed="1">
      <c r="A91" s="294" t="s">
        <v>341</v>
      </c>
      <c r="B91" s="295"/>
      <c r="C91" s="295"/>
      <c r="D91" s="295"/>
      <c r="E91" s="295"/>
      <c r="F91" s="295"/>
      <c r="G91" s="296"/>
    </row>
    <row r="92" spans="1:7" s="157" customFormat="1" outlineLevel="1">
      <c r="A92" s="151" t="s">
        <v>36</v>
      </c>
      <c r="B92" s="152" t="s">
        <v>146</v>
      </c>
      <c r="C92" s="153" t="s">
        <v>147</v>
      </c>
      <c r="D92" s="152" t="s">
        <v>148</v>
      </c>
      <c r="E92" s="154">
        <v>189.15181071000001</v>
      </c>
      <c r="F92" s="155">
        <v>230</v>
      </c>
      <c r="G92" s="187">
        <v>43504.92</v>
      </c>
    </row>
    <row r="93" spans="1:7" hidden="1" outlineLevel="3">
      <c r="A93" s="158"/>
      <c r="B93" s="159"/>
      <c r="C93" s="160" t="s">
        <v>328</v>
      </c>
      <c r="D93" s="159"/>
      <c r="E93" s="161"/>
      <c r="F93" s="162"/>
      <c r="G93" s="162"/>
    </row>
    <row r="94" spans="1:7" hidden="1" outlineLevel="3">
      <c r="A94" s="158"/>
      <c r="B94" s="159"/>
      <c r="C94" s="160" t="s">
        <v>21</v>
      </c>
      <c r="D94" s="159" t="s">
        <v>148</v>
      </c>
      <c r="E94" s="163">
        <v>24.057259200000001</v>
      </c>
      <c r="F94" s="164">
        <v>230</v>
      </c>
      <c r="G94" s="164">
        <v>5533.17</v>
      </c>
    </row>
    <row r="95" spans="1:7" hidden="1" outlineLevel="3">
      <c r="A95" s="158"/>
      <c r="B95" s="159"/>
      <c r="C95" s="160" t="s">
        <v>34</v>
      </c>
      <c r="D95" s="159" t="s">
        <v>148</v>
      </c>
      <c r="E95" s="163">
        <v>13.75110864</v>
      </c>
      <c r="F95" s="164">
        <v>230</v>
      </c>
      <c r="G95" s="164">
        <v>3162.75</v>
      </c>
    </row>
    <row r="96" spans="1:7" hidden="1" outlineLevel="3">
      <c r="A96" s="158"/>
      <c r="B96" s="159"/>
      <c r="C96" s="160" t="s">
        <v>46</v>
      </c>
      <c r="D96" s="159" t="s">
        <v>148</v>
      </c>
      <c r="E96" s="163">
        <v>141.00239999999999</v>
      </c>
      <c r="F96" s="164">
        <v>230</v>
      </c>
      <c r="G96" s="164">
        <v>32430.55</v>
      </c>
    </row>
    <row r="97" spans="1:7" hidden="1" outlineLevel="3">
      <c r="A97" s="158"/>
      <c r="B97" s="159"/>
      <c r="C97" s="160" t="s">
        <v>52</v>
      </c>
      <c r="D97" s="159" t="s">
        <v>148</v>
      </c>
      <c r="E97" s="163">
        <v>1.00752624</v>
      </c>
      <c r="F97" s="164">
        <v>230</v>
      </c>
      <c r="G97" s="164">
        <v>231.73</v>
      </c>
    </row>
    <row r="98" spans="1:7" hidden="1" outlineLevel="3">
      <c r="A98" s="158"/>
      <c r="B98" s="159"/>
      <c r="C98" s="160" t="s">
        <v>58</v>
      </c>
      <c r="D98" s="159" t="s">
        <v>148</v>
      </c>
      <c r="E98" s="163">
        <v>0.94480942000000001</v>
      </c>
      <c r="F98" s="164">
        <v>230</v>
      </c>
      <c r="G98" s="164">
        <v>217.31</v>
      </c>
    </row>
    <row r="99" spans="1:7" hidden="1" outlineLevel="3">
      <c r="A99" s="158"/>
      <c r="B99" s="159"/>
      <c r="C99" s="160" t="s">
        <v>62</v>
      </c>
      <c r="D99" s="159" t="s">
        <v>148</v>
      </c>
      <c r="E99" s="163">
        <v>3.5492210000000003E-2</v>
      </c>
      <c r="F99" s="164">
        <v>230</v>
      </c>
      <c r="G99" s="164">
        <v>8.16</v>
      </c>
    </row>
    <row r="100" spans="1:7" hidden="1" outlineLevel="3">
      <c r="A100" s="158"/>
      <c r="B100" s="159"/>
      <c r="C100" s="160" t="s">
        <v>76</v>
      </c>
      <c r="D100" s="159" t="s">
        <v>148</v>
      </c>
      <c r="E100" s="163">
        <v>8.3532150000000005</v>
      </c>
      <c r="F100" s="164">
        <v>230</v>
      </c>
      <c r="G100" s="164">
        <v>1921.24</v>
      </c>
    </row>
    <row r="101" spans="1:7" s="157" customFormat="1" outlineLevel="1" collapsed="1">
      <c r="A101" s="151" t="s">
        <v>38</v>
      </c>
      <c r="B101" s="152" t="s">
        <v>291</v>
      </c>
      <c r="C101" s="153" t="s">
        <v>292</v>
      </c>
      <c r="D101" s="152" t="s">
        <v>148</v>
      </c>
      <c r="E101" s="154">
        <v>134.163456</v>
      </c>
      <c r="F101" s="155">
        <v>31</v>
      </c>
      <c r="G101" s="187">
        <v>4159.07</v>
      </c>
    </row>
    <row r="102" spans="1:7" hidden="1" outlineLevel="3">
      <c r="A102" s="158"/>
      <c r="B102" s="159"/>
      <c r="C102" s="160" t="s">
        <v>72</v>
      </c>
      <c r="D102" s="159" t="s">
        <v>148</v>
      </c>
      <c r="E102" s="163">
        <v>134.163456</v>
      </c>
      <c r="F102" s="164">
        <v>31</v>
      </c>
      <c r="G102" s="164">
        <v>4159.07</v>
      </c>
    </row>
    <row r="103" spans="1:7" s="157" customFormat="1" ht="25.5" outlineLevel="1" collapsed="1">
      <c r="A103" s="151" t="s">
        <v>40</v>
      </c>
      <c r="B103" s="152" t="s">
        <v>252</v>
      </c>
      <c r="C103" s="153" t="s">
        <v>253</v>
      </c>
      <c r="D103" s="152" t="s">
        <v>148</v>
      </c>
      <c r="E103" s="154">
        <v>11.3347584</v>
      </c>
      <c r="F103" s="155">
        <v>87</v>
      </c>
      <c r="G103" s="187">
        <v>986.12</v>
      </c>
    </row>
    <row r="104" spans="1:7" hidden="1" outlineLevel="3">
      <c r="A104" s="158"/>
      <c r="B104" s="159"/>
      <c r="C104" s="160" t="s">
        <v>60</v>
      </c>
      <c r="D104" s="159" t="s">
        <v>148</v>
      </c>
      <c r="E104" s="163">
        <v>11.3347584</v>
      </c>
      <c r="F104" s="164">
        <v>87</v>
      </c>
      <c r="G104" s="164">
        <v>986.12</v>
      </c>
    </row>
    <row r="105" spans="1:7" s="157" customFormat="1" outlineLevel="1" collapsed="1">
      <c r="A105" s="151" t="s">
        <v>42</v>
      </c>
      <c r="B105" s="152" t="s">
        <v>261</v>
      </c>
      <c r="C105" s="153" t="s">
        <v>262</v>
      </c>
      <c r="D105" s="152" t="s">
        <v>148</v>
      </c>
      <c r="E105" s="154">
        <v>3.1365209999999998E-2</v>
      </c>
      <c r="F105" s="155">
        <v>6096</v>
      </c>
      <c r="G105" s="187">
        <v>191.2</v>
      </c>
    </row>
    <row r="106" spans="1:7" outlineLevel="2">
      <c r="A106" s="181"/>
      <c r="B106" s="182"/>
      <c r="C106" s="183" t="s">
        <v>338</v>
      </c>
      <c r="D106" s="184" t="s">
        <v>333</v>
      </c>
      <c r="E106" s="185">
        <v>3.1365209999999998E-2</v>
      </c>
      <c r="F106" s="185">
        <v>2278</v>
      </c>
      <c r="G106" s="185">
        <v>71.45</v>
      </c>
    </row>
    <row r="107" spans="1:7" hidden="1" outlineLevel="3">
      <c r="A107" s="158"/>
      <c r="B107" s="159"/>
      <c r="C107" s="160" t="s">
        <v>62</v>
      </c>
      <c r="D107" s="159" t="s">
        <v>148</v>
      </c>
      <c r="E107" s="163">
        <v>3.1365209999999998E-2</v>
      </c>
      <c r="F107" s="164">
        <v>6096</v>
      </c>
      <c r="G107" s="164">
        <v>191.2</v>
      </c>
    </row>
    <row r="108" spans="1:7">
      <c r="A108" s="165"/>
      <c r="B108" s="166"/>
      <c r="C108" s="167" t="s">
        <v>342</v>
      </c>
      <c r="D108" s="168" t="s">
        <v>320</v>
      </c>
      <c r="E108" s="168"/>
      <c r="F108" s="168"/>
      <c r="G108" s="169">
        <v>351883</v>
      </c>
    </row>
    <row r="109" spans="1:7">
      <c r="A109" s="172"/>
      <c r="B109" s="173"/>
      <c r="C109" s="174"/>
      <c r="D109" s="175"/>
      <c r="E109" s="176"/>
      <c r="F109" s="177"/>
      <c r="G109" s="178"/>
    </row>
    <row r="110" spans="1:7" ht="14.25">
      <c r="A110" s="148"/>
      <c r="B110" s="149"/>
      <c r="C110" s="150" t="s">
        <v>343</v>
      </c>
      <c r="D110" s="297"/>
      <c r="E110" s="297"/>
      <c r="F110" s="297"/>
      <c r="G110" s="298"/>
    </row>
    <row r="111" spans="1:7">
      <c r="A111" s="299" t="s">
        <v>344</v>
      </c>
      <c r="B111" s="300"/>
      <c r="C111" s="300"/>
      <c r="D111" s="300"/>
      <c r="E111" s="300"/>
      <c r="F111" s="300"/>
      <c r="G111" s="301"/>
    </row>
    <row r="112" spans="1:7" s="157" customFormat="1" ht="25.5" outlineLevel="1">
      <c r="A112" s="151" t="s">
        <v>21</v>
      </c>
      <c r="B112" s="152" t="s">
        <v>345</v>
      </c>
      <c r="C112" s="153" t="s">
        <v>346</v>
      </c>
      <c r="D112" s="152" t="s">
        <v>165</v>
      </c>
      <c r="E112" s="188">
        <v>624</v>
      </c>
      <c r="F112" s="155">
        <v>4532</v>
      </c>
      <c r="G112" s="189">
        <v>2827968</v>
      </c>
    </row>
    <row r="113" spans="1:7" hidden="1" outlineLevel="3">
      <c r="A113" s="158"/>
      <c r="B113" s="159"/>
      <c r="C113" s="160" t="s">
        <v>32</v>
      </c>
      <c r="D113" s="159" t="s">
        <v>165</v>
      </c>
      <c r="E113" s="163">
        <v>624</v>
      </c>
      <c r="F113" s="164">
        <v>4532</v>
      </c>
      <c r="G113" s="190">
        <v>2827968</v>
      </c>
    </row>
    <row r="114" spans="1:7" s="157" customFormat="1" ht="25.5" outlineLevel="1">
      <c r="A114" s="151" t="s">
        <v>32</v>
      </c>
      <c r="B114" s="152" t="s">
        <v>347</v>
      </c>
      <c r="C114" s="153" t="s">
        <v>348</v>
      </c>
      <c r="D114" s="152" t="s">
        <v>165</v>
      </c>
      <c r="E114" s="188">
        <v>342</v>
      </c>
      <c r="F114" s="155">
        <v>4700</v>
      </c>
      <c r="G114" s="189">
        <v>1607400</v>
      </c>
    </row>
    <row r="115" spans="1:7" hidden="1" outlineLevel="3">
      <c r="A115" s="158"/>
      <c r="B115" s="159"/>
      <c r="C115" s="160" t="s">
        <v>36</v>
      </c>
      <c r="D115" s="159" t="s">
        <v>165</v>
      </c>
      <c r="E115" s="163">
        <v>342</v>
      </c>
      <c r="F115" s="164">
        <v>4700</v>
      </c>
      <c r="G115" s="190">
        <v>1607400</v>
      </c>
    </row>
    <row r="116" spans="1:7" s="157" customFormat="1" outlineLevel="1">
      <c r="A116" s="151" t="s">
        <v>34</v>
      </c>
      <c r="B116" s="152" t="s">
        <v>349</v>
      </c>
      <c r="C116" s="153" t="s">
        <v>350</v>
      </c>
      <c r="D116" s="152" t="s">
        <v>179</v>
      </c>
      <c r="E116" s="188">
        <v>32</v>
      </c>
      <c r="F116" s="156">
        <v>43467.48</v>
      </c>
      <c r="G116" s="180">
        <v>1390959.36</v>
      </c>
    </row>
    <row r="117" spans="1:7" hidden="1" outlineLevel="3">
      <c r="A117" s="158"/>
      <c r="B117" s="159"/>
      <c r="C117" s="160" t="s">
        <v>70</v>
      </c>
      <c r="D117" s="159" t="s">
        <v>179</v>
      </c>
      <c r="E117" s="163">
        <v>32</v>
      </c>
      <c r="F117" s="164">
        <v>43467.48</v>
      </c>
      <c r="G117" s="164">
        <v>1390959.36</v>
      </c>
    </row>
    <row r="118" spans="1:7" s="157" customFormat="1" outlineLevel="1">
      <c r="A118" s="151" t="s">
        <v>36</v>
      </c>
      <c r="B118" s="152" t="s">
        <v>349</v>
      </c>
      <c r="C118" s="153" t="s">
        <v>351</v>
      </c>
      <c r="D118" s="152" t="s">
        <v>162</v>
      </c>
      <c r="E118" s="188">
        <v>80</v>
      </c>
      <c r="F118" s="156">
        <v>10452.27</v>
      </c>
      <c r="G118" s="180">
        <v>836181.6</v>
      </c>
    </row>
    <row r="119" spans="1:7" hidden="1" outlineLevel="3">
      <c r="A119" s="158"/>
      <c r="B119" s="159"/>
      <c r="C119" s="160" t="s">
        <v>74</v>
      </c>
      <c r="D119" s="159" t="s">
        <v>162</v>
      </c>
      <c r="E119" s="163">
        <v>80</v>
      </c>
      <c r="F119" s="164">
        <v>10452.27</v>
      </c>
      <c r="G119" s="164">
        <v>836181.6</v>
      </c>
    </row>
    <row r="120" spans="1:7">
      <c r="A120" s="302" t="s">
        <v>352</v>
      </c>
      <c r="B120" s="303"/>
      <c r="C120" s="303"/>
      <c r="D120" s="303"/>
      <c r="E120" s="303"/>
      <c r="F120" s="303"/>
      <c r="G120" s="304"/>
    </row>
    <row r="121" spans="1:7" s="157" customFormat="1" ht="25.5" outlineLevel="1">
      <c r="A121" s="151" t="s">
        <v>38</v>
      </c>
      <c r="B121" s="152" t="s">
        <v>353</v>
      </c>
      <c r="C121" s="153" t="s">
        <v>354</v>
      </c>
      <c r="D121" s="152" t="s">
        <v>191</v>
      </c>
      <c r="E121" s="188">
        <v>1960</v>
      </c>
      <c r="F121" s="155">
        <v>311</v>
      </c>
      <c r="G121" s="191">
        <v>609560</v>
      </c>
    </row>
    <row r="122" spans="1:7" hidden="1" outlineLevel="3">
      <c r="A122" s="158"/>
      <c r="B122" s="159"/>
      <c r="C122" s="160" t="s">
        <v>54</v>
      </c>
      <c r="D122" s="159" t="s">
        <v>191</v>
      </c>
      <c r="E122" s="163">
        <v>1960</v>
      </c>
      <c r="F122" s="164">
        <v>311</v>
      </c>
      <c r="G122" s="190">
        <v>609560</v>
      </c>
    </row>
    <row r="123" spans="1:7" s="157" customFormat="1" ht="22.5" outlineLevel="1">
      <c r="A123" s="151" t="s">
        <v>40</v>
      </c>
      <c r="B123" s="152" t="s">
        <v>355</v>
      </c>
      <c r="C123" s="153" t="s">
        <v>356</v>
      </c>
      <c r="D123" s="152" t="s">
        <v>191</v>
      </c>
      <c r="E123" s="188">
        <v>660</v>
      </c>
      <c r="F123" s="155">
        <v>720</v>
      </c>
      <c r="G123" s="191">
        <v>475200</v>
      </c>
    </row>
    <row r="124" spans="1:7" hidden="1" outlineLevel="3">
      <c r="A124" s="158"/>
      <c r="B124" s="159"/>
      <c r="C124" s="160" t="s">
        <v>40</v>
      </c>
      <c r="D124" s="159" t="s">
        <v>191</v>
      </c>
      <c r="E124" s="163">
        <v>660</v>
      </c>
      <c r="F124" s="164">
        <v>720</v>
      </c>
      <c r="G124" s="190">
        <v>475200</v>
      </c>
    </row>
    <row r="125" spans="1:7">
      <c r="A125" s="294" t="s">
        <v>357</v>
      </c>
      <c r="B125" s="295"/>
      <c r="C125" s="295"/>
      <c r="D125" s="295"/>
      <c r="E125" s="295"/>
      <c r="F125" s="295"/>
      <c r="G125" s="296"/>
    </row>
    <row r="126" spans="1:7" s="157" customFormat="1" ht="22.5" outlineLevel="1">
      <c r="A126" s="151" t="s">
        <v>42</v>
      </c>
      <c r="B126" s="152" t="s">
        <v>358</v>
      </c>
      <c r="C126" s="153" t="s">
        <v>359</v>
      </c>
      <c r="D126" s="152" t="s">
        <v>191</v>
      </c>
      <c r="E126" s="188">
        <v>490</v>
      </c>
      <c r="F126" s="155">
        <v>825</v>
      </c>
      <c r="G126" s="192">
        <v>404250</v>
      </c>
    </row>
    <row r="127" spans="1:7" hidden="1" outlineLevel="3">
      <c r="A127" s="158"/>
      <c r="B127" s="159"/>
      <c r="C127" s="160" t="s">
        <v>48</v>
      </c>
      <c r="D127" s="159" t="s">
        <v>191</v>
      </c>
      <c r="E127" s="163">
        <v>490</v>
      </c>
      <c r="F127" s="164">
        <v>825</v>
      </c>
      <c r="G127" s="190">
        <v>404250</v>
      </c>
    </row>
    <row r="128" spans="1:7" s="157" customFormat="1" ht="22.5" outlineLevel="1">
      <c r="A128" s="151" t="s">
        <v>44</v>
      </c>
      <c r="B128" s="152" t="s">
        <v>360</v>
      </c>
      <c r="C128" s="153" t="s">
        <v>361</v>
      </c>
      <c r="D128" s="152" t="s">
        <v>191</v>
      </c>
      <c r="E128" s="188">
        <v>320</v>
      </c>
      <c r="F128" s="155">
        <v>819</v>
      </c>
      <c r="G128" s="192">
        <v>262080</v>
      </c>
    </row>
    <row r="129" spans="1:7" hidden="1" outlineLevel="3">
      <c r="A129" s="158"/>
      <c r="B129" s="159"/>
      <c r="C129" s="160" t="s">
        <v>44</v>
      </c>
      <c r="D129" s="159" t="s">
        <v>191</v>
      </c>
      <c r="E129" s="163">
        <v>320</v>
      </c>
      <c r="F129" s="164">
        <v>819</v>
      </c>
      <c r="G129" s="190">
        <v>262080</v>
      </c>
    </row>
    <row r="130" spans="1:7" s="157" customFormat="1" outlineLevel="1">
      <c r="A130" s="151" t="s">
        <v>46</v>
      </c>
      <c r="B130" s="152" t="s">
        <v>362</v>
      </c>
      <c r="C130" s="153" t="s">
        <v>363</v>
      </c>
      <c r="D130" s="152" t="s">
        <v>191</v>
      </c>
      <c r="E130" s="188">
        <v>980</v>
      </c>
      <c r="F130" s="155">
        <v>148</v>
      </c>
      <c r="G130" s="192">
        <v>145040</v>
      </c>
    </row>
    <row r="131" spans="1:7" hidden="1" outlineLevel="3">
      <c r="A131" s="158"/>
      <c r="B131" s="159"/>
      <c r="C131" s="160" t="s">
        <v>50</v>
      </c>
      <c r="D131" s="159" t="s">
        <v>191</v>
      </c>
      <c r="E131" s="163">
        <v>980</v>
      </c>
      <c r="F131" s="164">
        <v>148</v>
      </c>
      <c r="G131" s="190">
        <v>145040</v>
      </c>
    </row>
    <row r="132" spans="1:7" s="157" customFormat="1" ht="38.25" outlineLevel="1">
      <c r="A132" s="151" t="s">
        <v>48</v>
      </c>
      <c r="B132" s="152" t="s">
        <v>364</v>
      </c>
      <c r="C132" s="153" t="s">
        <v>365</v>
      </c>
      <c r="D132" s="152" t="s">
        <v>137</v>
      </c>
      <c r="E132" s="154">
        <v>7.8880000000000006E-2</v>
      </c>
      <c r="F132" s="155">
        <v>462591</v>
      </c>
      <c r="G132" s="187">
        <v>36489.18</v>
      </c>
    </row>
    <row r="133" spans="1:7" hidden="1" outlineLevel="3">
      <c r="A133" s="158"/>
      <c r="B133" s="159"/>
      <c r="C133" s="160" t="s">
        <v>64</v>
      </c>
      <c r="D133" s="159" t="s">
        <v>137</v>
      </c>
      <c r="E133" s="163">
        <v>7.8880000000000006E-2</v>
      </c>
      <c r="F133" s="164">
        <v>462591</v>
      </c>
      <c r="G133" s="164">
        <v>36489.18</v>
      </c>
    </row>
    <row r="134" spans="1:7" s="157" customFormat="1" ht="25.5" outlineLevel="1">
      <c r="A134" s="151" t="s">
        <v>50</v>
      </c>
      <c r="B134" s="152" t="s">
        <v>160</v>
      </c>
      <c r="C134" s="153" t="s">
        <v>161</v>
      </c>
      <c r="D134" s="152" t="s">
        <v>162</v>
      </c>
      <c r="E134" s="154">
        <v>27.294957019999998</v>
      </c>
      <c r="F134" s="155">
        <v>1215</v>
      </c>
      <c r="G134" s="187">
        <v>33163.370000000003</v>
      </c>
    </row>
    <row r="135" spans="1:7" hidden="1" outlineLevel="3">
      <c r="A135" s="158"/>
      <c r="B135" s="159"/>
      <c r="C135" s="160" t="s">
        <v>328</v>
      </c>
      <c r="D135" s="159"/>
      <c r="E135" s="161"/>
      <c r="F135" s="162"/>
      <c r="G135" s="162"/>
    </row>
    <row r="136" spans="1:7" hidden="1" outlineLevel="3">
      <c r="A136" s="158"/>
      <c r="B136" s="159"/>
      <c r="C136" s="160" t="s">
        <v>21</v>
      </c>
      <c r="D136" s="159" t="s">
        <v>162</v>
      </c>
      <c r="E136" s="163">
        <v>4.7174399999999999</v>
      </c>
      <c r="F136" s="164">
        <v>1215</v>
      </c>
      <c r="G136" s="164">
        <v>5731.69</v>
      </c>
    </row>
    <row r="137" spans="1:7" hidden="1" outlineLevel="3">
      <c r="A137" s="158"/>
      <c r="B137" s="159"/>
      <c r="C137" s="160" t="s">
        <v>34</v>
      </c>
      <c r="D137" s="159" t="s">
        <v>162</v>
      </c>
      <c r="E137" s="163">
        <v>2.638188</v>
      </c>
      <c r="F137" s="164">
        <v>1215</v>
      </c>
      <c r="G137" s="164">
        <v>3205.4</v>
      </c>
    </row>
    <row r="138" spans="1:7" hidden="1" outlineLevel="3">
      <c r="A138" s="158"/>
      <c r="B138" s="159"/>
      <c r="C138" s="160" t="s">
        <v>46</v>
      </c>
      <c r="D138" s="159" t="s">
        <v>162</v>
      </c>
      <c r="E138" s="163">
        <v>18.032</v>
      </c>
      <c r="F138" s="164">
        <v>1215</v>
      </c>
      <c r="G138" s="164">
        <v>21908.880000000001</v>
      </c>
    </row>
    <row r="139" spans="1:7" hidden="1" outlineLevel="3">
      <c r="A139" s="158"/>
      <c r="B139" s="159"/>
      <c r="C139" s="160" t="s">
        <v>52</v>
      </c>
      <c r="D139" s="159" t="s">
        <v>162</v>
      </c>
      <c r="E139" s="163">
        <v>0.19756799999999999</v>
      </c>
      <c r="F139" s="164">
        <v>1215</v>
      </c>
      <c r="G139" s="164">
        <v>240.05</v>
      </c>
    </row>
    <row r="140" spans="1:7" hidden="1" outlineLevel="3">
      <c r="A140" s="158"/>
      <c r="B140" s="159"/>
      <c r="C140" s="160" t="s">
        <v>58</v>
      </c>
      <c r="D140" s="159" t="s">
        <v>162</v>
      </c>
      <c r="E140" s="163">
        <v>7.1761019999999995E-2</v>
      </c>
      <c r="F140" s="164">
        <v>1215</v>
      </c>
      <c r="G140" s="164">
        <v>87.19</v>
      </c>
    </row>
    <row r="141" spans="1:7" hidden="1" outlineLevel="3">
      <c r="A141" s="158"/>
      <c r="B141" s="159"/>
      <c r="C141" s="160" t="s">
        <v>76</v>
      </c>
      <c r="D141" s="159" t="s">
        <v>162</v>
      </c>
      <c r="E141" s="163">
        <v>1.6379999999999999</v>
      </c>
      <c r="F141" s="164">
        <v>1215</v>
      </c>
      <c r="G141" s="164">
        <v>1990.17</v>
      </c>
    </row>
    <row r="142" spans="1:7" s="157" customFormat="1" ht="25.5" outlineLevel="1">
      <c r="A142" s="151" t="s">
        <v>52</v>
      </c>
      <c r="B142" s="152" t="s">
        <v>366</v>
      </c>
      <c r="C142" s="153" t="s">
        <v>367</v>
      </c>
      <c r="D142" s="152" t="s">
        <v>137</v>
      </c>
      <c r="E142" s="154">
        <v>3.1435200000000003E-2</v>
      </c>
      <c r="F142" s="155">
        <v>335553</v>
      </c>
      <c r="G142" s="187">
        <v>10548.18</v>
      </c>
    </row>
    <row r="143" spans="1:7" hidden="1" outlineLevel="3">
      <c r="A143" s="158"/>
      <c r="B143" s="159"/>
      <c r="C143" s="160" t="s">
        <v>66</v>
      </c>
      <c r="D143" s="159" t="s">
        <v>137</v>
      </c>
      <c r="E143" s="163">
        <v>3.1435200000000003E-2</v>
      </c>
      <c r="F143" s="164">
        <v>335553</v>
      </c>
      <c r="G143" s="164">
        <v>10548.18</v>
      </c>
    </row>
    <row r="144" spans="1:7" s="157" customFormat="1" outlineLevel="1">
      <c r="A144" s="151" t="s">
        <v>54</v>
      </c>
      <c r="B144" s="152" t="s">
        <v>157</v>
      </c>
      <c r="C144" s="153" t="s">
        <v>158</v>
      </c>
      <c r="D144" s="152" t="s">
        <v>137</v>
      </c>
      <c r="E144" s="154">
        <v>6.71917E-3</v>
      </c>
      <c r="F144" s="155">
        <v>1510113</v>
      </c>
      <c r="G144" s="187">
        <v>10146.709999999999</v>
      </c>
    </row>
    <row r="145" spans="1:7" hidden="1" outlineLevel="3">
      <c r="A145" s="158"/>
      <c r="B145" s="159"/>
      <c r="C145" s="160" t="s">
        <v>328</v>
      </c>
      <c r="D145" s="159"/>
      <c r="E145" s="161"/>
      <c r="F145" s="162"/>
      <c r="G145" s="162"/>
    </row>
    <row r="146" spans="1:7" hidden="1" outlineLevel="3">
      <c r="A146" s="158"/>
      <c r="B146" s="159"/>
      <c r="C146" s="160" t="s">
        <v>21</v>
      </c>
      <c r="D146" s="159" t="s">
        <v>137</v>
      </c>
      <c r="E146" s="163">
        <v>3.5661600000000001E-3</v>
      </c>
      <c r="F146" s="164">
        <v>1510113</v>
      </c>
      <c r="G146" s="164">
        <v>5385.3</v>
      </c>
    </row>
    <row r="147" spans="1:7" hidden="1" outlineLevel="3">
      <c r="A147" s="158"/>
      <c r="B147" s="159"/>
      <c r="C147" s="160" t="s">
        <v>34</v>
      </c>
      <c r="D147" s="159" t="s">
        <v>137</v>
      </c>
      <c r="E147" s="163">
        <v>1.7654000000000001E-3</v>
      </c>
      <c r="F147" s="164">
        <v>1510113</v>
      </c>
      <c r="G147" s="164">
        <v>2665.96</v>
      </c>
    </row>
    <row r="148" spans="1:7" hidden="1" outlineLevel="3">
      <c r="A148" s="158"/>
      <c r="B148" s="159"/>
      <c r="C148" s="160" t="s">
        <v>52</v>
      </c>
      <c r="D148" s="159" t="s">
        <v>137</v>
      </c>
      <c r="E148" s="163">
        <v>1.4935E-4</v>
      </c>
      <c r="F148" s="164">
        <v>1510113</v>
      </c>
      <c r="G148" s="164">
        <v>225.54</v>
      </c>
    </row>
    <row r="149" spans="1:7" hidden="1" outlineLevel="3">
      <c r="A149" s="158"/>
      <c r="B149" s="159"/>
      <c r="C149" s="160" t="s">
        <v>76</v>
      </c>
      <c r="D149" s="159" t="s">
        <v>137</v>
      </c>
      <c r="E149" s="163">
        <v>1.23825E-3</v>
      </c>
      <c r="F149" s="164">
        <v>1510113</v>
      </c>
      <c r="G149" s="164">
        <v>1869.9</v>
      </c>
    </row>
    <row r="150" spans="1:7" s="157" customFormat="1" ht="25.5" outlineLevel="1">
      <c r="A150" s="151" t="s">
        <v>56</v>
      </c>
      <c r="B150" s="152" t="s">
        <v>368</v>
      </c>
      <c r="C150" s="153" t="s">
        <v>369</v>
      </c>
      <c r="D150" s="152" t="s">
        <v>191</v>
      </c>
      <c r="E150" s="188">
        <v>1522</v>
      </c>
      <c r="F150" s="155">
        <v>5</v>
      </c>
      <c r="G150" s="192">
        <v>7610</v>
      </c>
    </row>
    <row r="151" spans="1:7" hidden="1" outlineLevel="3">
      <c r="A151" s="158"/>
      <c r="B151" s="159"/>
      <c r="C151" s="160" t="s">
        <v>56</v>
      </c>
      <c r="D151" s="159" t="s">
        <v>191</v>
      </c>
      <c r="E151" s="163">
        <v>1522</v>
      </c>
      <c r="F151" s="164">
        <v>5</v>
      </c>
      <c r="G151" s="190">
        <v>7610</v>
      </c>
    </row>
    <row r="152" spans="1:7" s="157" customFormat="1" outlineLevel="1">
      <c r="A152" s="151" t="s">
        <v>58</v>
      </c>
      <c r="B152" s="152" t="s">
        <v>209</v>
      </c>
      <c r="C152" s="153" t="s">
        <v>210</v>
      </c>
      <c r="D152" s="152" t="s">
        <v>211</v>
      </c>
      <c r="E152" s="154">
        <v>21.56</v>
      </c>
      <c r="F152" s="155">
        <v>322</v>
      </c>
      <c r="G152" s="187">
        <v>6942.32</v>
      </c>
    </row>
    <row r="153" spans="1:7" hidden="1" outlineLevel="3">
      <c r="A153" s="158"/>
      <c r="B153" s="159"/>
      <c r="C153" s="160" t="s">
        <v>46</v>
      </c>
      <c r="D153" s="159" t="s">
        <v>211</v>
      </c>
      <c r="E153" s="163">
        <v>21.56</v>
      </c>
      <c r="F153" s="164">
        <v>322</v>
      </c>
      <c r="G153" s="164">
        <v>6942.32</v>
      </c>
    </row>
    <row r="154" spans="1:7" s="157" customFormat="1" outlineLevel="1">
      <c r="A154" s="151" t="s">
        <v>60</v>
      </c>
      <c r="B154" s="152" t="s">
        <v>187</v>
      </c>
      <c r="C154" s="153" t="s">
        <v>188</v>
      </c>
      <c r="D154" s="152" t="s">
        <v>162</v>
      </c>
      <c r="E154" s="154">
        <v>5.3562473600000002</v>
      </c>
      <c r="F154" s="155">
        <v>1293</v>
      </c>
      <c r="G154" s="187">
        <v>6925.63</v>
      </c>
    </row>
    <row r="155" spans="1:7" hidden="1" outlineLevel="3">
      <c r="A155" s="158"/>
      <c r="B155" s="159"/>
      <c r="C155" s="160" t="s">
        <v>328</v>
      </c>
      <c r="D155" s="159"/>
      <c r="E155" s="161"/>
      <c r="F155" s="162"/>
      <c r="G155" s="162"/>
    </row>
    <row r="156" spans="1:7" hidden="1" outlineLevel="3">
      <c r="A156" s="158"/>
      <c r="B156" s="159"/>
      <c r="C156" s="160" t="s">
        <v>38</v>
      </c>
      <c r="D156" s="159" t="s">
        <v>162</v>
      </c>
      <c r="E156" s="163">
        <v>1.056</v>
      </c>
      <c r="F156" s="164">
        <v>1293</v>
      </c>
      <c r="G156" s="164">
        <v>1365.41</v>
      </c>
    </row>
    <row r="157" spans="1:7" hidden="1" outlineLevel="3">
      <c r="A157" s="158"/>
      <c r="B157" s="159"/>
      <c r="C157" s="160" t="s">
        <v>42</v>
      </c>
      <c r="D157" s="159" t="s">
        <v>162</v>
      </c>
      <c r="E157" s="163">
        <v>0.99199999999999999</v>
      </c>
      <c r="F157" s="164">
        <v>1293</v>
      </c>
      <c r="G157" s="164">
        <v>1282.6600000000001</v>
      </c>
    </row>
    <row r="158" spans="1:7" hidden="1" outlineLevel="3">
      <c r="A158" s="158"/>
      <c r="B158" s="159"/>
      <c r="C158" s="160" t="s">
        <v>46</v>
      </c>
      <c r="D158" s="159" t="s">
        <v>162</v>
      </c>
      <c r="E158" s="163">
        <v>2.94</v>
      </c>
      <c r="F158" s="164">
        <v>1293</v>
      </c>
      <c r="G158" s="164">
        <v>3801.42</v>
      </c>
    </row>
    <row r="159" spans="1:7" hidden="1" outlineLevel="3">
      <c r="A159" s="158"/>
      <c r="B159" s="159"/>
      <c r="C159" s="160" t="s">
        <v>58</v>
      </c>
      <c r="D159" s="159" t="s">
        <v>162</v>
      </c>
      <c r="E159" s="163">
        <v>0.36824736000000002</v>
      </c>
      <c r="F159" s="164">
        <v>1293</v>
      </c>
      <c r="G159" s="164">
        <v>476.14</v>
      </c>
    </row>
    <row r="160" spans="1:7" s="157" customFormat="1" outlineLevel="1">
      <c r="A160" s="151" t="s">
        <v>62</v>
      </c>
      <c r="B160" s="152" t="s">
        <v>296</v>
      </c>
      <c r="C160" s="153" t="s">
        <v>297</v>
      </c>
      <c r="D160" s="152" t="s">
        <v>162</v>
      </c>
      <c r="E160" s="154">
        <v>5.6848000000000001</v>
      </c>
      <c r="F160" s="155">
        <v>593</v>
      </c>
      <c r="G160" s="187">
        <v>3371.09</v>
      </c>
    </row>
    <row r="161" spans="1:7" hidden="1" outlineLevel="3">
      <c r="A161" s="158"/>
      <c r="B161" s="159"/>
      <c r="C161" s="160" t="s">
        <v>72</v>
      </c>
      <c r="D161" s="159" t="s">
        <v>162</v>
      </c>
      <c r="E161" s="163">
        <v>5.6848000000000001</v>
      </c>
      <c r="F161" s="164">
        <v>593</v>
      </c>
      <c r="G161" s="164">
        <v>3371.09</v>
      </c>
    </row>
    <row r="162" spans="1:7" s="157" customFormat="1" outlineLevel="1">
      <c r="A162" s="151" t="s">
        <v>64</v>
      </c>
      <c r="B162" s="152" t="s">
        <v>280</v>
      </c>
      <c r="C162" s="153" t="s">
        <v>281</v>
      </c>
      <c r="D162" s="152" t="s">
        <v>162</v>
      </c>
      <c r="E162" s="154">
        <v>3.1680000000000001</v>
      </c>
      <c r="F162" s="155">
        <v>129</v>
      </c>
      <c r="G162" s="187">
        <v>408.67</v>
      </c>
    </row>
    <row r="163" spans="1:7" hidden="1" outlineLevel="3">
      <c r="A163" s="158"/>
      <c r="B163" s="159"/>
      <c r="C163" s="160" t="s">
        <v>68</v>
      </c>
      <c r="D163" s="159" t="s">
        <v>162</v>
      </c>
      <c r="E163" s="163">
        <v>3.1680000000000001</v>
      </c>
      <c r="F163" s="164">
        <v>129</v>
      </c>
      <c r="G163" s="164">
        <v>408.67</v>
      </c>
    </row>
    <row r="164" spans="1:7" s="157" customFormat="1" outlineLevel="1">
      <c r="A164" s="151" t="s">
        <v>66</v>
      </c>
      <c r="B164" s="152" t="s">
        <v>266</v>
      </c>
      <c r="C164" s="153" t="s">
        <v>267</v>
      </c>
      <c r="D164" s="152" t="s">
        <v>137</v>
      </c>
      <c r="E164" s="154">
        <v>3.2183E-4</v>
      </c>
      <c r="F164" s="155">
        <v>274757</v>
      </c>
      <c r="G164" s="187">
        <v>88.43</v>
      </c>
    </row>
    <row r="165" spans="1:7" hidden="1" outlineLevel="3">
      <c r="A165" s="158"/>
      <c r="B165" s="159"/>
      <c r="C165" s="160" t="s">
        <v>62</v>
      </c>
      <c r="D165" s="159" t="s">
        <v>137</v>
      </c>
      <c r="E165" s="163">
        <v>3.2183E-4</v>
      </c>
      <c r="F165" s="164">
        <v>274757</v>
      </c>
      <c r="G165" s="164">
        <v>88.43</v>
      </c>
    </row>
    <row r="166" spans="1:7" s="157" customFormat="1" outlineLevel="1">
      <c r="A166" s="151" t="s">
        <v>68</v>
      </c>
      <c r="B166" s="152" t="s">
        <v>237</v>
      </c>
      <c r="C166" s="153" t="s">
        <v>238</v>
      </c>
      <c r="D166" s="152" t="s">
        <v>137</v>
      </c>
      <c r="E166" s="154">
        <v>4.25E-6</v>
      </c>
      <c r="F166" s="155">
        <v>24399</v>
      </c>
      <c r="G166" s="187">
        <v>0.1</v>
      </c>
    </row>
    <row r="167" spans="1:7" hidden="1" outlineLevel="3">
      <c r="A167" s="158"/>
      <c r="B167" s="159"/>
      <c r="C167" s="160" t="s">
        <v>58</v>
      </c>
      <c r="D167" s="159" t="s">
        <v>137</v>
      </c>
      <c r="E167" s="163">
        <v>4.25E-6</v>
      </c>
      <c r="F167" s="164">
        <v>24399</v>
      </c>
      <c r="G167" s="164">
        <v>0.1</v>
      </c>
    </row>
    <row r="168" spans="1:7">
      <c r="A168" s="165"/>
      <c r="B168" s="166"/>
      <c r="C168" s="167" t="s">
        <v>370</v>
      </c>
      <c r="D168" s="168" t="s">
        <v>320</v>
      </c>
      <c r="E168" s="168"/>
      <c r="F168" s="168"/>
      <c r="G168" s="169">
        <v>8674471</v>
      </c>
    </row>
    <row r="169" spans="1:7">
      <c r="A169" s="172"/>
      <c r="B169" s="173"/>
      <c r="C169" s="174"/>
      <c r="D169" s="175"/>
      <c r="E169" s="176"/>
      <c r="F169" s="177"/>
      <c r="G169" s="178"/>
    </row>
    <row r="170" spans="1:7">
      <c r="A170" s="165"/>
      <c r="B170" s="166"/>
      <c r="C170" s="167" t="s">
        <v>330</v>
      </c>
      <c r="D170" s="168" t="s">
        <v>142</v>
      </c>
      <c r="E170" s="170">
        <v>425.47500000000002</v>
      </c>
      <c r="F170" s="168"/>
      <c r="G170" s="171"/>
    </row>
    <row r="171" spans="1:7">
      <c r="A171" s="165"/>
      <c r="B171" s="166"/>
      <c r="C171" s="167" t="s">
        <v>371</v>
      </c>
      <c r="D171" s="168" t="s">
        <v>320</v>
      </c>
      <c r="E171" s="168"/>
      <c r="F171" s="168"/>
      <c r="G171" s="169">
        <v>11356842</v>
      </c>
    </row>
    <row r="172" spans="1:7">
      <c r="A172" s="165"/>
      <c r="B172" s="166"/>
      <c r="C172" s="167" t="s">
        <v>372</v>
      </c>
      <c r="D172" s="168" t="s">
        <v>320</v>
      </c>
      <c r="E172" s="168"/>
      <c r="F172" s="168"/>
      <c r="G172" s="169">
        <v>0</v>
      </c>
    </row>
    <row r="173" spans="1:7">
      <c r="A173" s="165"/>
      <c r="B173" s="166"/>
      <c r="C173" s="167" t="s">
        <v>373</v>
      </c>
      <c r="D173" s="168" t="s">
        <v>320</v>
      </c>
      <c r="E173" s="168"/>
      <c r="F173" s="168"/>
      <c r="G173" s="169">
        <v>11356842</v>
      </c>
    </row>
    <row r="174" spans="1:7">
      <c r="A174" s="165"/>
      <c r="B174" s="166"/>
      <c r="C174" s="167" t="s">
        <v>374</v>
      </c>
      <c r="D174" s="168" t="s">
        <v>320</v>
      </c>
      <c r="E174" s="168"/>
      <c r="F174" s="168"/>
      <c r="G174" s="169">
        <v>0</v>
      </c>
    </row>
    <row r="175" spans="1:7">
      <c r="A175" s="193"/>
      <c r="B175" s="194"/>
      <c r="C175" s="194"/>
      <c r="D175" s="194"/>
      <c r="E175" s="194"/>
      <c r="F175" s="194"/>
      <c r="G175" s="194"/>
    </row>
    <row r="176" spans="1:7">
      <c r="A176" s="195"/>
      <c r="B176" s="293" t="s">
        <v>24</v>
      </c>
      <c r="C176" s="293"/>
      <c r="D176" s="293" t="s">
        <v>25</v>
      </c>
      <c r="E176" s="293"/>
      <c r="F176" s="293"/>
      <c r="G176" s="293"/>
    </row>
    <row r="177" spans="1:7">
      <c r="A177" s="193"/>
      <c r="B177" s="194"/>
      <c r="C177" s="194"/>
      <c r="D177" s="194"/>
      <c r="E177" s="194"/>
      <c r="F177" s="194"/>
      <c r="G177" s="194"/>
    </row>
    <row r="178" spans="1:7">
      <c r="A178" s="195"/>
      <c r="B178" s="293" t="s">
        <v>26</v>
      </c>
      <c r="C178" s="293"/>
      <c r="D178" s="293" t="s">
        <v>27</v>
      </c>
      <c r="E178" s="293"/>
      <c r="F178" s="293"/>
      <c r="G178" s="293"/>
    </row>
  </sheetData>
  <mergeCells count="30">
    <mergeCell ref="C8:F8"/>
    <mergeCell ref="F1:G1"/>
    <mergeCell ref="C2:F2"/>
    <mergeCell ref="E3:G3"/>
    <mergeCell ref="D5:G5"/>
    <mergeCell ref="C6:D6"/>
    <mergeCell ref="A85:G85"/>
    <mergeCell ref="C9:F9"/>
    <mergeCell ref="C10:F10"/>
    <mergeCell ref="A12:F12"/>
    <mergeCell ref="A13:A14"/>
    <mergeCell ref="B13:B14"/>
    <mergeCell ref="C13:C14"/>
    <mergeCell ref="D13:D14"/>
    <mergeCell ref="E13:E14"/>
    <mergeCell ref="F13:G13"/>
    <mergeCell ref="A16:G16"/>
    <mergeCell ref="D17:G17"/>
    <mergeCell ref="D40:G40"/>
    <mergeCell ref="D57:G57"/>
    <mergeCell ref="A58:G58"/>
    <mergeCell ref="B178:C178"/>
    <mergeCell ref="D178:G178"/>
    <mergeCell ref="A91:G91"/>
    <mergeCell ref="D110:G110"/>
    <mergeCell ref="A111:G111"/>
    <mergeCell ref="A120:G120"/>
    <mergeCell ref="A125:G125"/>
    <mergeCell ref="B176:C176"/>
    <mergeCell ref="D176:G176"/>
  </mergeCells>
  <pageMargins left="0.59" right="0.59" top="0.79" bottom="0.79" header="0.51" footer="0.51"/>
  <pageSetup paperSize="9" fitToHeight="10000" orientation="landscape" horizontalDpi="300" verticalDpi="300" r:id="rId1"/>
  <headerFooter>
    <oddHeader>&amp;L&amp;"Times New Roman,Обычный"Программный комплекс АВС (редакция 2023.10)&amp;C&amp;"Times New Roman,Обычный"&amp;P&amp;R&amp;"Times New Roman,Обычный"360014020</oddHeader>
    <oddFooter>&amp;C&amp;"Times New Roman,Обычный"Страниц -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89"/>
  <sheetViews>
    <sheetView showGridLines="0" topLeftCell="A103" workbookViewId="0">
      <selection activeCell="F117" sqref="F117"/>
    </sheetView>
  </sheetViews>
  <sheetFormatPr defaultRowHeight="12.75" outlineLevelRow="2" outlineLevelCol="1"/>
  <cols>
    <col min="1" max="1" width="5.7109375" style="53" customWidth="1"/>
    <col min="2" max="2" width="16.7109375" style="53" customWidth="1"/>
    <col min="3" max="3" width="53" style="53" customWidth="1"/>
    <col min="4" max="4" width="12.7109375" style="53" customWidth="1"/>
    <col min="5" max="5" width="10.7109375" style="53" customWidth="1" outlineLevel="1"/>
    <col min="6" max="6" width="10.7109375" style="53" customWidth="1"/>
    <col min="7" max="13" width="12.7109375" style="53" customWidth="1"/>
    <col min="14" max="14" width="12" style="53" customWidth="1"/>
    <col min="15" max="15" width="11.28515625" style="53" bestFit="1" customWidth="1"/>
    <col min="16" max="256" width="9.140625" style="53"/>
    <col min="257" max="257" width="5.7109375" style="53" customWidth="1"/>
    <col min="258" max="258" width="16.7109375" style="53" customWidth="1"/>
    <col min="259" max="259" width="53" style="53" customWidth="1"/>
    <col min="260" max="260" width="12.7109375" style="53" customWidth="1"/>
    <col min="261" max="262" width="10.7109375" style="53" customWidth="1"/>
    <col min="263" max="269" width="12.7109375" style="53" customWidth="1"/>
    <col min="270" max="512" width="9.140625" style="53"/>
    <col min="513" max="513" width="5.7109375" style="53" customWidth="1"/>
    <col min="514" max="514" width="16.7109375" style="53" customWidth="1"/>
    <col min="515" max="515" width="53" style="53" customWidth="1"/>
    <col min="516" max="516" width="12.7109375" style="53" customWidth="1"/>
    <col min="517" max="518" width="10.7109375" style="53" customWidth="1"/>
    <col min="519" max="525" width="12.7109375" style="53" customWidth="1"/>
    <col min="526" max="768" width="9.140625" style="53"/>
    <col min="769" max="769" width="5.7109375" style="53" customWidth="1"/>
    <col min="770" max="770" width="16.7109375" style="53" customWidth="1"/>
    <col min="771" max="771" width="53" style="53" customWidth="1"/>
    <col min="772" max="772" width="12.7109375" style="53" customWidth="1"/>
    <col min="773" max="774" width="10.7109375" style="53" customWidth="1"/>
    <col min="775" max="781" width="12.7109375" style="53" customWidth="1"/>
    <col min="782" max="1024" width="9.140625" style="53"/>
    <col min="1025" max="1025" width="5.7109375" style="53" customWidth="1"/>
    <col min="1026" max="1026" width="16.7109375" style="53" customWidth="1"/>
    <col min="1027" max="1027" width="53" style="53" customWidth="1"/>
    <col min="1028" max="1028" width="12.7109375" style="53" customWidth="1"/>
    <col min="1029" max="1030" width="10.7109375" style="53" customWidth="1"/>
    <col min="1031" max="1037" width="12.7109375" style="53" customWidth="1"/>
    <col min="1038" max="1280" width="9.140625" style="53"/>
    <col min="1281" max="1281" width="5.7109375" style="53" customWidth="1"/>
    <col min="1282" max="1282" width="16.7109375" style="53" customWidth="1"/>
    <col min="1283" max="1283" width="53" style="53" customWidth="1"/>
    <col min="1284" max="1284" width="12.7109375" style="53" customWidth="1"/>
    <col min="1285" max="1286" width="10.7109375" style="53" customWidth="1"/>
    <col min="1287" max="1293" width="12.7109375" style="53" customWidth="1"/>
    <col min="1294" max="1536" width="9.140625" style="53"/>
    <col min="1537" max="1537" width="5.7109375" style="53" customWidth="1"/>
    <col min="1538" max="1538" width="16.7109375" style="53" customWidth="1"/>
    <col min="1539" max="1539" width="53" style="53" customWidth="1"/>
    <col min="1540" max="1540" width="12.7109375" style="53" customWidth="1"/>
    <col min="1541" max="1542" width="10.7109375" style="53" customWidth="1"/>
    <col min="1543" max="1549" width="12.7109375" style="53" customWidth="1"/>
    <col min="1550" max="1792" width="9.140625" style="53"/>
    <col min="1793" max="1793" width="5.7109375" style="53" customWidth="1"/>
    <col min="1794" max="1794" width="16.7109375" style="53" customWidth="1"/>
    <col min="1795" max="1795" width="53" style="53" customWidth="1"/>
    <col min="1796" max="1796" width="12.7109375" style="53" customWidth="1"/>
    <col min="1797" max="1798" width="10.7109375" style="53" customWidth="1"/>
    <col min="1799" max="1805" width="12.7109375" style="53" customWidth="1"/>
    <col min="1806" max="2048" width="9.140625" style="53"/>
    <col min="2049" max="2049" width="5.7109375" style="53" customWidth="1"/>
    <col min="2050" max="2050" width="16.7109375" style="53" customWidth="1"/>
    <col min="2051" max="2051" width="53" style="53" customWidth="1"/>
    <col min="2052" max="2052" width="12.7109375" style="53" customWidth="1"/>
    <col min="2053" max="2054" width="10.7109375" style="53" customWidth="1"/>
    <col min="2055" max="2061" width="12.7109375" style="53" customWidth="1"/>
    <col min="2062" max="2304" width="9.140625" style="53"/>
    <col min="2305" max="2305" width="5.7109375" style="53" customWidth="1"/>
    <col min="2306" max="2306" width="16.7109375" style="53" customWidth="1"/>
    <col min="2307" max="2307" width="53" style="53" customWidth="1"/>
    <col min="2308" max="2308" width="12.7109375" style="53" customWidth="1"/>
    <col min="2309" max="2310" width="10.7109375" style="53" customWidth="1"/>
    <col min="2311" max="2317" width="12.7109375" style="53" customWidth="1"/>
    <col min="2318" max="2560" width="9.140625" style="53"/>
    <col min="2561" max="2561" width="5.7109375" style="53" customWidth="1"/>
    <col min="2562" max="2562" width="16.7109375" style="53" customWidth="1"/>
    <col min="2563" max="2563" width="53" style="53" customWidth="1"/>
    <col min="2564" max="2564" width="12.7109375" style="53" customWidth="1"/>
    <col min="2565" max="2566" width="10.7109375" style="53" customWidth="1"/>
    <col min="2567" max="2573" width="12.7109375" style="53" customWidth="1"/>
    <col min="2574" max="2816" width="9.140625" style="53"/>
    <col min="2817" max="2817" width="5.7109375" style="53" customWidth="1"/>
    <col min="2818" max="2818" width="16.7109375" style="53" customWidth="1"/>
    <col min="2819" max="2819" width="53" style="53" customWidth="1"/>
    <col min="2820" max="2820" width="12.7109375" style="53" customWidth="1"/>
    <col min="2821" max="2822" width="10.7109375" style="53" customWidth="1"/>
    <col min="2823" max="2829" width="12.7109375" style="53" customWidth="1"/>
    <col min="2830" max="3072" width="9.140625" style="53"/>
    <col min="3073" max="3073" width="5.7109375" style="53" customWidth="1"/>
    <col min="3074" max="3074" width="16.7109375" style="53" customWidth="1"/>
    <col min="3075" max="3075" width="53" style="53" customWidth="1"/>
    <col min="3076" max="3076" width="12.7109375" style="53" customWidth="1"/>
    <col min="3077" max="3078" width="10.7109375" style="53" customWidth="1"/>
    <col min="3079" max="3085" width="12.7109375" style="53" customWidth="1"/>
    <col min="3086" max="3328" width="9.140625" style="53"/>
    <col min="3329" max="3329" width="5.7109375" style="53" customWidth="1"/>
    <col min="3330" max="3330" width="16.7109375" style="53" customWidth="1"/>
    <col min="3331" max="3331" width="53" style="53" customWidth="1"/>
    <col min="3332" max="3332" width="12.7109375" style="53" customWidth="1"/>
    <col min="3333" max="3334" width="10.7109375" style="53" customWidth="1"/>
    <col min="3335" max="3341" width="12.7109375" style="53" customWidth="1"/>
    <col min="3342" max="3584" width="9.140625" style="53"/>
    <col min="3585" max="3585" width="5.7109375" style="53" customWidth="1"/>
    <col min="3586" max="3586" width="16.7109375" style="53" customWidth="1"/>
    <col min="3587" max="3587" width="53" style="53" customWidth="1"/>
    <col min="3588" max="3588" width="12.7109375" style="53" customWidth="1"/>
    <col min="3589" max="3590" width="10.7109375" style="53" customWidth="1"/>
    <col min="3591" max="3597" width="12.7109375" style="53" customWidth="1"/>
    <col min="3598" max="3840" width="9.140625" style="53"/>
    <col min="3841" max="3841" width="5.7109375" style="53" customWidth="1"/>
    <col min="3842" max="3842" width="16.7109375" style="53" customWidth="1"/>
    <col min="3843" max="3843" width="53" style="53" customWidth="1"/>
    <col min="3844" max="3844" width="12.7109375" style="53" customWidth="1"/>
    <col min="3845" max="3846" width="10.7109375" style="53" customWidth="1"/>
    <col min="3847" max="3853" width="12.7109375" style="53" customWidth="1"/>
    <col min="3854" max="4096" width="9.140625" style="53"/>
    <col min="4097" max="4097" width="5.7109375" style="53" customWidth="1"/>
    <col min="4098" max="4098" width="16.7109375" style="53" customWidth="1"/>
    <col min="4099" max="4099" width="53" style="53" customWidth="1"/>
    <col min="4100" max="4100" width="12.7109375" style="53" customWidth="1"/>
    <col min="4101" max="4102" width="10.7109375" style="53" customWidth="1"/>
    <col min="4103" max="4109" width="12.7109375" style="53" customWidth="1"/>
    <col min="4110" max="4352" width="9.140625" style="53"/>
    <col min="4353" max="4353" width="5.7109375" style="53" customWidth="1"/>
    <col min="4354" max="4354" width="16.7109375" style="53" customWidth="1"/>
    <col min="4355" max="4355" width="53" style="53" customWidth="1"/>
    <col min="4356" max="4356" width="12.7109375" style="53" customWidth="1"/>
    <col min="4357" max="4358" width="10.7109375" style="53" customWidth="1"/>
    <col min="4359" max="4365" width="12.7109375" style="53" customWidth="1"/>
    <col min="4366" max="4608" width="9.140625" style="53"/>
    <col min="4609" max="4609" width="5.7109375" style="53" customWidth="1"/>
    <col min="4610" max="4610" width="16.7109375" style="53" customWidth="1"/>
    <col min="4611" max="4611" width="53" style="53" customWidth="1"/>
    <col min="4612" max="4612" width="12.7109375" style="53" customWidth="1"/>
    <col min="4613" max="4614" width="10.7109375" style="53" customWidth="1"/>
    <col min="4615" max="4621" width="12.7109375" style="53" customWidth="1"/>
    <col min="4622" max="4864" width="9.140625" style="53"/>
    <col min="4865" max="4865" width="5.7109375" style="53" customWidth="1"/>
    <col min="4866" max="4866" width="16.7109375" style="53" customWidth="1"/>
    <col min="4867" max="4867" width="53" style="53" customWidth="1"/>
    <col min="4868" max="4868" width="12.7109375" style="53" customWidth="1"/>
    <col min="4869" max="4870" width="10.7109375" style="53" customWidth="1"/>
    <col min="4871" max="4877" width="12.7109375" style="53" customWidth="1"/>
    <col min="4878" max="5120" width="9.140625" style="53"/>
    <col min="5121" max="5121" width="5.7109375" style="53" customWidth="1"/>
    <col min="5122" max="5122" width="16.7109375" style="53" customWidth="1"/>
    <col min="5123" max="5123" width="53" style="53" customWidth="1"/>
    <col min="5124" max="5124" width="12.7109375" style="53" customWidth="1"/>
    <col min="5125" max="5126" width="10.7109375" style="53" customWidth="1"/>
    <col min="5127" max="5133" width="12.7109375" style="53" customWidth="1"/>
    <col min="5134" max="5376" width="9.140625" style="53"/>
    <col min="5377" max="5377" width="5.7109375" style="53" customWidth="1"/>
    <col min="5378" max="5378" width="16.7109375" style="53" customWidth="1"/>
    <col min="5379" max="5379" width="53" style="53" customWidth="1"/>
    <col min="5380" max="5380" width="12.7109375" style="53" customWidth="1"/>
    <col min="5381" max="5382" width="10.7109375" style="53" customWidth="1"/>
    <col min="5383" max="5389" width="12.7109375" style="53" customWidth="1"/>
    <col min="5390" max="5632" width="9.140625" style="53"/>
    <col min="5633" max="5633" width="5.7109375" style="53" customWidth="1"/>
    <col min="5634" max="5634" width="16.7109375" style="53" customWidth="1"/>
    <col min="5635" max="5635" width="53" style="53" customWidth="1"/>
    <col min="5636" max="5636" width="12.7109375" style="53" customWidth="1"/>
    <col min="5637" max="5638" width="10.7109375" style="53" customWidth="1"/>
    <col min="5639" max="5645" width="12.7109375" style="53" customWidth="1"/>
    <col min="5646" max="5888" width="9.140625" style="53"/>
    <col min="5889" max="5889" width="5.7109375" style="53" customWidth="1"/>
    <col min="5890" max="5890" width="16.7109375" style="53" customWidth="1"/>
    <col min="5891" max="5891" width="53" style="53" customWidth="1"/>
    <col min="5892" max="5892" width="12.7109375" style="53" customWidth="1"/>
    <col min="5893" max="5894" width="10.7109375" style="53" customWidth="1"/>
    <col min="5895" max="5901" width="12.7109375" style="53" customWidth="1"/>
    <col min="5902" max="6144" width="9.140625" style="53"/>
    <col min="6145" max="6145" width="5.7109375" style="53" customWidth="1"/>
    <col min="6146" max="6146" width="16.7109375" style="53" customWidth="1"/>
    <col min="6147" max="6147" width="53" style="53" customWidth="1"/>
    <col min="6148" max="6148" width="12.7109375" style="53" customWidth="1"/>
    <col min="6149" max="6150" width="10.7109375" style="53" customWidth="1"/>
    <col min="6151" max="6157" width="12.7109375" style="53" customWidth="1"/>
    <col min="6158" max="6400" width="9.140625" style="53"/>
    <col min="6401" max="6401" width="5.7109375" style="53" customWidth="1"/>
    <col min="6402" max="6402" width="16.7109375" style="53" customWidth="1"/>
    <col min="6403" max="6403" width="53" style="53" customWidth="1"/>
    <col min="6404" max="6404" width="12.7109375" style="53" customWidth="1"/>
    <col min="6405" max="6406" width="10.7109375" style="53" customWidth="1"/>
    <col min="6407" max="6413" width="12.7109375" style="53" customWidth="1"/>
    <col min="6414" max="6656" width="9.140625" style="53"/>
    <col min="6657" max="6657" width="5.7109375" style="53" customWidth="1"/>
    <col min="6658" max="6658" width="16.7109375" style="53" customWidth="1"/>
    <col min="6659" max="6659" width="53" style="53" customWidth="1"/>
    <col min="6660" max="6660" width="12.7109375" style="53" customWidth="1"/>
    <col min="6661" max="6662" width="10.7109375" style="53" customWidth="1"/>
    <col min="6663" max="6669" width="12.7109375" style="53" customWidth="1"/>
    <col min="6670" max="6912" width="9.140625" style="53"/>
    <col min="6913" max="6913" width="5.7109375" style="53" customWidth="1"/>
    <col min="6914" max="6914" width="16.7109375" style="53" customWidth="1"/>
    <col min="6915" max="6915" width="53" style="53" customWidth="1"/>
    <col min="6916" max="6916" width="12.7109375" style="53" customWidth="1"/>
    <col min="6917" max="6918" width="10.7109375" style="53" customWidth="1"/>
    <col min="6919" max="6925" width="12.7109375" style="53" customWidth="1"/>
    <col min="6926" max="7168" width="9.140625" style="53"/>
    <col min="7169" max="7169" width="5.7109375" style="53" customWidth="1"/>
    <col min="7170" max="7170" width="16.7109375" style="53" customWidth="1"/>
    <col min="7171" max="7171" width="53" style="53" customWidth="1"/>
    <col min="7172" max="7172" width="12.7109375" style="53" customWidth="1"/>
    <col min="7173" max="7174" width="10.7109375" style="53" customWidth="1"/>
    <col min="7175" max="7181" width="12.7109375" style="53" customWidth="1"/>
    <col min="7182" max="7424" width="9.140625" style="53"/>
    <col min="7425" max="7425" width="5.7109375" style="53" customWidth="1"/>
    <col min="7426" max="7426" width="16.7109375" style="53" customWidth="1"/>
    <col min="7427" max="7427" width="53" style="53" customWidth="1"/>
    <col min="7428" max="7428" width="12.7109375" style="53" customWidth="1"/>
    <col min="7429" max="7430" width="10.7109375" style="53" customWidth="1"/>
    <col min="7431" max="7437" width="12.7109375" style="53" customWidth="1"/>
    <col min="7438" max="7680" width="9.140625" style="53"/>
    <col min="7681" max="7681" width="5.7109375" style="53" customWidth="1"/>
    <col min="7682" max="7682" width="16.7109375" style="53" customWidth="1"/>
    <col min="7683" max="7683" width="53" style="53" customWidth="1"/>
    <col min="7684" max="7684" width="12.7109375" style="53" customWidth="1"/>
    <col min="7685" max="7686" width="10.7109375" style="53" customWidth="1"/>
    <col min="7687" max="7693" width="12.7109375" style="53" customWidth="1"/>
    <col min="7694" max="7936" width="9.140625" style="53"/>
    <col min="7937" max="7937" width="5.7109375" style="53" customWidth="1"/>
    <col min="7938" max="7938" width="16.7109375" style="53" customWidth="1"/>
    <col min="7939" max="7939" width="53" style="53" customWidth="1"/>
    <col min="7940" max="7940" width="12.7109375" style="53" customWidth="1"/>
    <col min="7941" max="7942" width="10.7109375" style="53" customWidth="1"/>
    <col min="7943" max="7949" width="12.7109375" style="53" customWidth="1"/>
    <col min="7950" max="8192" width="9.140625" style="53"/>
    <col min="8193" max="8193" width="5.7109375" style="53" customWidth="1"/>
    <col min="8194" max="8194" width="16.7109375" style="53" customWidth="1"/>
    <col min="8195" max="8195" width="53" style="53" customWidth="1"/>
    <col min="8196" max="8196" width="12.7109375" style="53" customWidth="1"/>
    <col min="8197" max="8198" width="10.7109375" style="53" customWidth="1"/>
    <col min="8199" max="8205" width="12.7109375" style="53" customWidth="1"/>
    <col min="8206" max="8448" width="9.140625" style="53"/>
    <col min="8449" max="8449" width="5.7109375" style="53" customWidth="1"/>
    <col min="8450" max="8450" width="16.7109375" style="53" customWidth="1"/>
    <col min="8451" max="8451" width="53" style="53" customWidth="1"/>
    <col min="8452" max="8452" width="12.7109375" style="53" customWidth="1"/>
    <col min="8453" max="8454" width="10.7109375" style="53" customWidth="1"/>
    <col min="8455" max="8461" width="12.7109375" style="53" customWidth="1"/>
    <col min="8462" max="8704" width="9.140625" style="53"/>
    <col min="8705" max="8705" width="5.7109375" style="53" customWidth="1"/>
    <col min="8706" max="8706" width="16.7109375" style="53" customWidth="1"/>
    <col min="8707" max="8707" width="53" style="53" customWidth="1"/>
    <col min="8708" max="8708" width="12.7109375" style="53" customWidth="1"/>
    <col min="8709" max="8710" width="10.7109375" style="53" customWidth="1"/>
    <col min="8711" max="8717" width="12.7109375" style="53" customWidth="1"/>
    <col min="8718" max="8960" width="9.140625" style="53"/>
    <col min="8961" max="8961" width="5.7109375" style="53" customWidth="1"/>
    <col min="8962" max="8962" width="16.7109375" style="53" customWidth="1"/>
    <col min="8963" max="8963" width="53" style="53" customWidth="1"/>
    <col min="8964" max="8964" width="12.7109375" style="53" customWidth="1"/>
    <col min="8965" max="8966" width="10.7109375" style="53" customWidth="1"/>
    <col min="8967" max="8973" width="12.7109375" style="53" customWidth="1"/>
    <col min="8974" max="9216" width="9.140625" style="53"/>
    <col min="9217" max="9217" width="5.7109375" style="53" customWidth="1"/>
    <col min="9218" max="9218" width="16.7109375" style="53" customWidth="1"/>
    <col min="9219" max="9219" width="53" style="53" customWidth="1"/>
    <col min="9220" max="9220" width="12.7109375" style="53" customWidth="1"/>
    <col min="9221" max="9222" width="10.7109375" style="53" customWidth="1"/>
    <col min="9223" max="9229" width="12.7109375" style="53" customWidth="1"/>
    <col min="9230" max="9472" width="9.140625" style="53"/>
    <col min="9473" max="9473" width="5.7109375" style="53" customWidth="1"/>
    <col min="9474" max="9474" width="16.7109375" style="53" customWidth="1"/>
    <col min="9475" max="9475" width="53" style="53" customWidth="1"/>
    <col min="9476" max="9476" width="12.7109375" style="53" customWidth="1"/>
    <col min="9477" max="9478" width="10.7109375" style="53" customWidth="1"/>
    <col min="9479" max="9485" width="12.7109375" style="53" customWidth="1"/>
    <col min="9486" max="9728" width="9.140625" style="53"/>
    <col min="9729" max="9729" width="5.7109375" style="53" customWidth="1"/>
    <col min="9730" max="9730" width="16.7109375" style="53" customWidth="1"/>
    <col min="9731" max="9731" width="53" style="53" customWidth="1"/>
    <col min="9732" max="9732" width="12.7109375" style="53" customWidth="1"/>
    <col min="9733" max="9734" width="10.7109375" style="53" customWidth="1"/>
    <col min="9735" max="9741" width="12.7109375" style="53" customWidth="1"/>
    <col min="9742" max="9984" width="9.140625" style="53"/>
    <col min="9985" max="9985" width="5.7109375" style="53" customWidth="1"/>
    <col min="9986" max="9986" width="16.7109375" style="53" customWidth="1"/>
    <col min="9987" max="9987" width="53" style="53" customWidth="1"/>
    <col min="9988" max="9988" width="12.7109375" style="53" customWidth="1"/>
    <col min="9989" max="9990" width="10.7109375" style="53" customWidth="1"/>
    <col min="9991" max="9997" width="12.7109375" style="53" customWidth="1"/>
    <col min="9998" max="10240" width="9.140625" style="53"/>
    <col min="10241" max="10241" width="5.7109375" style="53" customWidth="1"/>
    <col min="10242" max="10242" width="16.7109375" style="53" customWidth="1"/>
    <col min="10243" max="10243" width="53" style="53" customWidth="1"/>
    <col min="10244" max="10244" width="12.7109375" style="53" customWidth="1"/>
    <col min="10245" max="10246" width="10.7109375" style="53" customWidth="1"/>
    <col min="10247" max="10253" width="12.7109375" style="53" customWidth="1"/>
    <col min="10254" max="10496" width="9.140625" style="53"/>
    <col min="10497" max="10497" width="5.7109375" style="53" customWidth="1"/>
    <col min="10498" max="10498" width="16.7109375" style="53" customWidth="1"/>
    <col min="10499" max="10499" width="53" style="53" customWidth="1"/>
    <col min="10500" max="10500" width="12.7109375" style="53" customWidth="1"/>
    <col min="10501" max="10502" width="10.7109375" style="53" customWidth="1"/>
    <col min="10503" max="10509" width="12.7109375" style="53" customWidth="1"/>
    <col min="10510" max="10752" width="9.140625" style="53"/>
    <col min="10753" max="10753" width="5.7109375" style="53" customWidth="1"/>
    <col min="10754" max="10754" width="16.7109375" style="53" customWidth="1"/>
    <col min="10755" max="10755" width="53" style="53" customWidth="1"/>
    <col min="10756" max="10756" width="12.7109375" style="53" customWidth="1"/>
    <col min="10757" max="10758" width="10.7109375" style="53" customWidth="1"/>
    <col min="10759" max="10765" width="12.7109375" style="53" customWidth="1"/>
    <col min="10766" max="11008" width="9.140625" style="53"/>
    <col min="11009" max="11009" width="5.7109375" style="53" customWidth="1"/>
    <col min="11010" max="11010" width="16.7109375" style="53" customWidth="1"/>
    <col min="11011" max="11011" width="53" style="53" customWidth="1"/>
    <col min="11012" max="11012" width="12.7109375" style="53" customWidth="1"/>
    <col min="11013" max="11014" width="10.7109375" style="53" customWidth="1"/>
    <col min="11015" max="11021" width="12.7109375" style="53" customWidth="1"/>
    <col min="11022" max="11264" width="9.140625" style="53"/>
    <col min="11265" max="11265" width="5.7109375" style="53" customWidth="1"/>
    <col min="11266" max="11266" width="16.7109375" style="53" customWidth="1"/>
    <col min="11267" max="11267" width="53" style="53" customWidth="1"/>
    <col min="11268" max="11268" width="12.7109375" style="53" customWidth="1"/>
    <col min="11269" max="11270" width="10.7109375" style="53" customWidth="1"/>
    <col min="11271" max="11277" width="12.7109375" style="53" customWidth="1"/>
    <col min="11278" max="11520" width="9.140625" style="53"/>
    <col min="11521" max="11521" width="5.7109375" style="53" customWidth="1"/>
    <col min="11522" max="11522" width="16.7109375" style="53" customWidth="1"/>
    <col min="11523" max="11523" width="53" style="53" customWidth="1"/>
    <col min="11524" max="11524" width="12.7109375" style="53" customWidth="1"/>
    <col min="11525" max="11526" width="10.7109375" style="53" customWidth="1"/>
    <col min="11527" max="11533" width="12.7109375" style="53" customWidth="1"/>
    <col min="11534" max="11776" width="9.140625" style="53"/>
    <col min="11777" max="11777" width="5.7109375" style="53" customWidth="1"/>
    <col min="11778" max="11778" width="16.7109375" style="53" customWidth="1"/>
    <col min="11779" max="11779" width="53" style="53" customWidth="1"/>
    <col min="11780" max="11780" width="12.7109375" style="53" customWidth="1"/>
    <col min="11781" max="11782" width="10.7109375" style="53" customWidth="1"/>
    <col min="11783" max="11789" width="12.7109375" style="53" customWidth="1"/>
    <col min="11790" max="12032" width="9.140625" style="53"/>
    <col min="12033" max="12033" width="5.7109375" style="53" customWidth="1"/>
    <col min="12034" max="12034" width="16.7109375" style="53" customWidth="1"/>
    <col min="12035" max="12035" width="53" style="53" customWidth="1"/>
    <col min="12036" max="12036" width="12.7109375" style="53" customWidth="1"/>
    <col min="12037" max="12038" width="10.7109375" style="53" customWidth="1"/>
    <col min="12039" max="12045" width="12.7109375" style="53" customWidth="1"/>
    <col min="12046" max="12288" width="9.140625" style="53"/>
    <col min="12289" max="12289" width="5.7109375" style="53" customWidth="1"/>
    <col min="12290" max="12290" width="16.7109375" style="53" customWidth="1"/>
    <col min="12291" max="12291" width="53" style="53" customWidth="1"/>
    <col min="12292" max="12292" width="12.7109375" style="53" customWidth="1"/>
    <col min="12293" max="12294" width="10.7109375" style="53" customWidth="1"/>
    <col min="12295" max="12301" width="12.7109375" style="53" customWidth="1"/>
    <col min="12302" max="12544" width="9.140625" style="53"/>
    <col min="12545" max="12545" width="5.7109375" style="53" customWidth="1"/>
    <col min="12546" max="12546" width="16.7109375" style="53" customWidth="1"/>
    <col min="12547" max="12547" width="53" style="53" customWidth="1"/>
    <col min="12548" max="12548" width="12.7109375" style="53" customWidth="1"/>
    <col min="12549" max="12550" width="10.7109375" style="53" customWidth="1"/>
    <col min="12551" max="12557" width="12.7109375" style="53" customWidth="1"/>
    <col min="12558" max="12800" width="9.140625" style="53"/>
    <col min="12801" max="12801" width="5.7109375" style="53" customWidth="1"/>
    <col min="12802" max="12802" width="16.7109375" style="53" customWidth="1"/>
    <col min="12803" max="12803" width="53" style="53" customWidth="1"/>
    <col min="12804" max="12804" width="12.7109375" style="53" customWidth="1"/>
    <col min="12805" max="12806" width="10.7109375" style="53" customWidth="1"/>
    <col min="12807" max="12813" width="12.7109375" style="53" customWidth="1"/>
    <col min="12814" max="13056" width="9.140625" style="53"/>
    <col min="13057" max="13057" width="5.7109375" style="53" customWidth="1"/>
    <col min="13058" max="13058" width="16.7109375" style="53" customWidth="1"/>
    <col min="13059" max="13059" width="53" style="53" customWidth="1"/>
    <col min="13060" max="13060" width="12.7109375" style="53" customWidth="1"/>
    <col min="13061" max="13062" width="10.7109375" style="53" customWidth="1"/>
    <col min="13063" max="13069" width="12.7109375" style="53" customWidth="1"/>
    <col min="13070" max="13312" width="9.140625" style="53"/>
    <col min="13313" max="13313" width="5.7109375" style="53" customWidth="1"/>
    <col min="13314" max="13314" width="16.7109375" style="53" customWidth="1"/>
    <col min="13315" max="13315" width="53" style="53" customWidth="1"/>
    <col min="13316" max="13316" width="12.7109375" style="53" customWidth="1"/>
    <col min="13317" max="13318" width="10.7109375" style="53" customWidth="1"/>
    <col min="13319" max="13325" width="12.7109375" style="53" customWidth="1"/>
    <col min="13326" max="13568" width="9.140625" style="53"/>
    <col min="13569" max="13569" width="5.7109375" style="53" customWidth="1"/>
    <col min="13570" max="13570" width="16.7109375" style="53" customWidth="1"/>
    <col min="13571" max="13571" width="53" style="53" customWidth="1"/>
    <col min="13572" max="13572" width="12.7109375" style="53" customWidth="1"/>
    <col min="13573" max="13574" width="10.7109375" style="53" customWidth="1"/>
    <col min="13575" max="13581" width="12.7109375" style="53" customWidth="1"/>
    <col min="13582" max="13824" width="9.140625" style="53"/>
    <col min="13825" max="13825" width="5.7109375" style="53" customWidth="1"/>
    <col min="13826" max="13826" width="16.7109375" style="53" customWidth="1"/>
    <col min="13827" max="13827" width="53" style="53" customWidth="1"/>
    <col min="13828" max="13828" width="12.7109375" style="53" customWidth="1"/>
    <col min="13829" max="13830" width="10.7109375" style="53" customWidth="1"/>
    <col min="13831" max="13837" width="12.7109375" style="53" customWidth="1"/>
    <col min="13838" max="14080" width="9.140625" style="53"/>
    <col min="14081" max="14081" width="5.7109375" style="53" customWidth="1"/>
    <col min="14082" max="14082" width="16.7109375" style="53" customWidth="1"/>
    <col min="14083" max="14083" width="53" style="53" customWidth="1"/>
    <col min="14084" max="14084" width="12.7109375" style="53" customWidth="1"/>
    <col min="14085" max="14086" width="10.7109375" style="53" customWidth="1"/>
    <col min="14087" max="14093" width="12.7109375" style="53" customWidth="1"/>
    <col min="14094" max="14336" width="9.140625" style="53"/>
    <col min="14337" max="14337" width="5.7109375" style="53" customWidth="1"/>
    <col min="14338" max="14338" width="16.7109375" style="53" customWidth="1"/>
    <col min="14339" max="14339" width="53" style="53" customWidth="1"/>
    <col min="14340" max="14340" width="12.7109375" style="53" customWidth="1"/>
    <col min="14341" max="14342" width="10.7109375" style="53" customWidth="1"/>
    <col min="14343" max="14349" width="12.7109375" style="53" customWidth="1"/>
    <col min="14350" max="14592" width="9.140625" style="53"/>
    <col min="14593" max="14593" width="5.7109375" style="53" customWidth="1"/>
    <col min="14594" max="14594" width="16.7109375" style="53" customWidth="1"/>
    <col min="14595" max="14595" width="53" style="53" customWidth="1"/>
    <col min="14596" max="14596" width="12.7109375" style="53" customWidth="1"/>
    <col min="14597" max="14598" width="10.7109375" style="53" customWidth="1"/>
    <col min="14599" max="14605" width="12.7109375" style="53" customWidth="1"/>
    <col min="14606" max="14848" width="9.140625" style="53"/>
    <col min="14849" max="14849" width="5.7109375" style="53" customWidth="1"/>
    <col min="14850" max="14850" width="16.7109375" style="53" customWidth="1"/>
    <col min="14851" max="14851" width="53" style="53" customWidth="1"/>
    <col min="14852" max="14852" width="12.7109375" style="53" customWidth="1"/>
    <col min="14853" max="14854" width="10.7109375" style="53" customWidth="1"/>
    <col min="14855" max="14861" width="12.7109375" style="53" customWidth="1"/>
    <col min="14862" max="15104" width="9.140625" style="53"/>
    <col min="15105" max="15105" width="5.7109375" style="53" customWidth="1"/>
    <col min="15106" max="15106" width="16.7109375" style="53" customWidth="1"/>
    <col min="15107" max="15107" width="53" style="53" customWidth="1"/>
    <col min="15108" max="15108" width="12.7109375" style="53" customWidth="1"/>
    <col min="15109" max="15110" width="10.7109375" style="53" customWidth="1"/>
    <col min="15111" max="15117" width="12.7109375" style="53" customWidth="1"/>
    <col min="15118" max="15360" width="9.140625" style="53"/>
    <col min="15361" max="15361" width="5.7109375" style="53" customWidth="1"/>
    <col min="15362" max="15362" width="16.7109375" style="53" customWidth="1"/>
    <col min="15363" max="15363" width="53" style="53" customWidth="1"/>
    <col min="15364" max="15364" width="12.7109375" style="53" customWidth="1"/>
    <col min="15365" max="15366" width="10.7109375" style="53" customWidth="1"/>
    <col min="15367" max="15373" width="12.7109375" style="53" customWidth="1"/>
    <col min="15374" max="15616" width="9.140625" style="53"/>
    <col min="15617" max="15617" width="5.7109375" style="53" customWidth="1"/>
    <col min="15618" max="15618" width="16.7109375" style="53" customWidth="1"/>
    <col min="15619" max="15619" width="53" style="53" customWidth="1"/>
    <col min="15620" max="15620" width="12.7109375" style="53" customWidth="1"/>
    <col min="15621" max="15622" width="10.7109375" style="53" customWidth="1"/>
    <col min="15623" max="15629" width="12.7109375" style="53" customWidth="1"/>
    <col min="15630" max="15872" width="9.140625" style="53"/>
    <col min="15873" max="15873" width="5.7109375" style="53" customWidth="1"/>
    <col min="15874" max="15874" width="16.7109375" style="53" customWidth="1"/>
    <col min="15875" max="15875" width="53" style="53" customWidth="1"/>
    <col min="15876" max="15876" width="12.7109375" style="53" customWidth="1"/>
    <col min="15877" max="15878" width="10.7109375" style="53" customWidth="1"/>
    <col min="15879" max="15885" width="12.7109375" style="53" customWidth="1"/>
    <col min="15886" max="16128" width="9.140625" style="53"/>
    <col min="16129" max="16129" width="5.7109375" style="53" customWidth="1"/>
    <col min="16130" max="16130" width="16.7109375" style="53" customWidth="1"/>
    <col min="16131" max="16131" width="53" style="53" customWidth="1"/>
    <col min="16132" max="16132" width="12.7109375" style="53" customWidth="1"/>
    <col min="16133" max="16134" width="10.7109375" style="53" customWidth="1"/>
    <col min="16135" max="16141" width="12.7109375" style="53" customWidth="1"/>
    <col min="16142" max="16384" width="9.140625" style="53"/>
  </cols>
  <sheetData>
    <row r="1" spans="1:13" s="43" customFormat="1">
      <c r="M1" s="44" t="s">
        <v>92</v>
      </c>
    </row>
    <row r="2" spans="1:13" s="43" customFormat="1">
      <c r="A2" s="45"/>
      <c r="B2" s="45"/>
      <c r="C2" s="46"/>
      <c r="D2" s="46"/>
      <c r="E2" s="46"/>
      <c r="F2" s="45"/>
      <c r="G2" s="45"/>
      <c r="H2" s="46"/>
      <c r="I2" s="46"/>
      <c r="J2" s="46"/>
      <c r="K2" s="46"/>
      <c r="L2" s="46"/>
      <c r="M2" s="46"/>
    </row>
    <row r="3" spans="1:13" s="43" customFormat="1" ht="25.5" customHeight="1">
      <c r="A3" s="47" t="s">
        <v>93</v>
      </c>
      <c r="B3" s="47"/>
      <c r="C3" s="272" t="s">
        <v>94</v>
      </c>
      <c r="D3" s="272"/>
      <c r="E3" s="272"/>
      <c r="F3" s="272"/>
      <c r="G3" s="272"/>
      <c r="H3" s="272"/>
      <c r="I3" s="272"/>
      <c r="J3" s="272"/>
      <c r="K3" s="272"/>
      <c r="L3" s="272"/>
      <c r="M3" s="272"/>
    </row>
    <row r="4" spans="1:13" s="43" customFormat="1">
      <c r="A4" s="48" t="s">
        <v>95</v>
      </c>
      <c r="B4" s="48"/>
      <c r="C4" s="290" t="s">
        <v>96</v>
      </c>
      <c r="D4" s="290"/>
      <c r="E4" s="290"/>
      <c r="F4" s="290"/>
      <c r="G4" s="290"/>
      <c r="H4" s="290"/>
      <c r="I4" s="290"/>
      <c r="J4" s="290"/>
      <c r="K4" s="290"/>
      <c r="L4" s="290"/>
      <c r="M4" s="290"/>
    </row>
    <row r="5" spans="1:13" s="43" customFormat="1">
      <c r="A5" s="47" t="s">
        <v>97</v>
      </c>
      <c r="B5" s="47"/>
      <c r="C5" s="272" t="s">
        <v>98</v>
      </c>
      <c r="D5" s="272"/>
      <c r="E5" s="272"/>
      <c r="F5" s="272"/>
      <c r="G5" s="272"/>
      <c r="H5" s="272"/>
      <c r="I5" s="272"/>
      <c r="J5" s="272"/>
      <c r="K5" s="272"/>
      <c r="L5" s="272"/>
      <c r="M5" s="272"/>
    </row>
    <row r="6" spans="1:13" s="43" customFormat="1">
      <c r="A6" s="48" t="s">
        <v>99</v>
      </c>
      <c r="B6" s="48"/>
      <c r="C6" s="290" t="s">
        <v>100</v>
      </c>
      <c r="D6" s="290"/>
      <c r="E6" s="290"/>
      <c r="F6" s="290"/>
      <c r="G6" s="290"/>
      <c r="H6" s="290"/>
      <c r="I6" s="290"/>
      <c r="J6" s="290"/>
      <c r="K6" s="290"/>
      <c r="L6" s="290"/>
      <c r="M6" s="290"/>
    </row>
    <row r="7" spans="1:13" s="43" customFormat="1" ht="10.5" customHeight="1">
      <c r="C7" s="49"/>
      <c r="D7" s="49"/>
      <c r="E7" s="49"/>
    </row>
    <row r="8" spans="1:13" s="43" customFormat="1" ht="18.75">
      <c r="C8" s="291" t="s">
        <v>101</v>
      </c>
      <c r="D8" s="291"/>
      <c r="E8" s="291"/>
      <c r="F8" s="291"/>
      <c r="G8" s="291"/>
      <c r="H8" s="292" t="s">
        <v>2</v>
      </c>
      <c r="I8" s="292"/>
      <c r="J8" s="292"/>
      <c r="K8" s="292"/>
      <c r="L8" s="292"/>
      <c r="M8" s="292"/>
    </row>
    <row r="9" spans="1:13" s="43" customFormat="1" ht="19.5" customHeight="1">
      <c r="C9" s="269" t="s">
        <v>102</v>
      </c>
      <c r="D9" s="269"/>
      <c r="E9" s="269"/>
      <c r="F9" s="269"/>
      <c r="G9" s="269"/>
      <c r="H9" s="269"/>
      <c r="I9" s="269"/>
      <c r="J9" s="269"/>
      <c r="K9" s="269"/>
      <c r="L9" s="50"/>
    </row>
    <row r="10" spans="1:13" s="43" customFormat="1" ht="12" customHeight="1">
      <c r="C10" s="49"/>
      <c r="D10" s="49"/>
      <c r="E10" s="49"/>
    </row>
    <row r="11" spans="1:13" s="43" customFormat="1" ht="15">
      <c r="B11" s="51" t="s">
        <v>103</v>
      </c>
      <c r="C11" s="270" t="s">
        <v>104</v>
      </c>
      <c r="D11" s="270"/>
      <c r="E11" s="270"/>
      <c r="F11" s="270"/>
      <c r="G11" s="270"/>
      <c r="H11" s="270"/>
      <c r="I11" s="270"/>
      <c r="J11" s="270"/>
      <c r="K11" s="270"/>
      <c r="L11" s="270"/>
      <c r="M11" s="270"/>
    </row>
    <row r="12" spans="1:13" s="43" customFormat="1" ht="15">
      <c r="B12" s="51"/>
      <c r="C12" s="271" t="s">
        <v>105</v>
      </c>
      <c r="D12" s="271"/>
      <c r="E12" s="271"/>
      <c r="F12" s="271"/>
      <c r="G12" s="271"/>
      <c r="H12" s="271"/>
      <c r="I12" s="271"/>
      <c r="J12" s="271"/>
      <c r="K12" s="271"/>
      <c r="L12" s="271"/>
    </row>
    <row r="13" spans="1:13" s="43" customFormat="1"/>
    <row r="14" spans="1:13" s="43" customFormat="1">
      <c r="A14" s="47" t="s">
        <v>106</v>
      </c>
      <c r="B14" s="47"/>
      <c r="C14" s="272" t="s">
        <v>107</v>
      </c>
      <c r="D14" s="272"/>
      <c r="E14" s="272"/>
      <c r="F14" s="272"/>
      <c r="G14" s="272"/>
      <c r="H14" s="272"/>
      <c r="I14" s="272"/>
      <c r="J14" s="272"/>
      <c r="K14" s="272"/>
      <c r="L14" s="272"/>
      <c r="M14" s="272"/>
    </row>
    <row r="15" spans="1:13">
      <c r="A15" s="52"/>
      <c r="B15" s="52"/>
      <c r="C15" s="52"/>
      <c r="F15" s="54" t="s">
        <v>11</v>
      </c>
      <c r="G15" s="54"/>
      <c r="H15" s="54"/>
      <c r="I15" s="54"/>
      <c r="J15" s="54"/>
      <c r="K15" s="55"/>
      <c r="L15" s="56" t="s">
        <v>108</v>
      </c>
      <c r="M15" s="56" t="s">
        <v>109</v>
      </c>
    </row>
    <row r="16" spans="1:13">
      <c r="A16" s="52"/>
      <c r="B16" s="52"/>
      <c r="C16" s="52"/>
      <c r="F16" s="54" t="s">
        <v>110</v>
      </c>
      <c r="G16" s="54"/>
      <c r="H16" s="54"/>
      <c r="I16" s="54"/>
      <c r="J16" s="54"/>
      <c r="K16" s="55"/>
      <c r="L16" s="56" t="s">
        <v>111</v>
      </c>
      <c r="M16" s="56" t="s">
        <v>109</v>
      </c>
    </row>
    <row r="17" spans="1:13">
      <c r="A17" s="52"/>
      <c r="B17" s="52"/>
      <c r="C17" s="52"/>
      <c r="F17" s="54" t="s">
        <v>112</v>
      </c>
      <c r="G17" s="54"/>
      <c r="H17" s="54"/>
      <c r="I17" s="54"/>
      <c r="J17" s="54"/>
      <c r="K17" s="55"/>
      <c r="L17" s="56" t="s">
        <v>113</v>
      </c>
      <c r="M17" s="56" t="s">
        <v>114</v>
      </c>
    </row>
    <row r="18" spans="1:13" s="43" customFormat="1" ht="16.5" customHeight="1">
      <c r="A18" s="273" t="s">
        <v>115</v>
      </c>
      <c r="B18" s="273"/>
      <c r="C18" s="273"/>
      <c r="D18" s="273"/>
      <c r="E18" s="273"/>
      <c r="F18" s="273"/>
      <c r="G18" s="273"/>
      <c r="H18" s="273"/>
      <c r="I18" s="273"/>
      <c r="J18" s="273"/>
      <c r="K18" s="273"/>
      <c r="L18" s="44"/>
    </row>
    <row r="19" spans="1:13" s="57" customFormat="1" ht="24" customHeight="1">
      <c r="A19" s="274" t="s">
        <v>116</v>
      </c>
      <c r="B19" s="274" t="s">
        <v>117</v>
      </c>
      <c r="C19" s="274" t="s">
        <v>118</v>
      </c>
      <c r="D19" s="274" t="s">
        <v>119</v>
      </c>
      <c r="E19" s="277" t="s">
        <v>120</v>
      </c>
      <c r="F19" s="278"/>
      <c r="G19" s="281" t="s">
        <v>121</v>
      </c>
      <c r="H19" s="282"/>
      <c r="I19" s="281" t="s">
        <v>122</v>
      </c>
      <c r="J19" s="283"/>
      <c r="K19" s="284"/>
      <c r="L19" s="274" t="s">
        <v>123</v>
      </c>
      <c r="M19" s="285" t="s">
        <v>124</v>
      </c>
    </row>
    <row r="20" spans="1:13" s="57" customFormat="1" ht="24" customHeight="1">
      <c r="A20" s="275"/>
      <c r="B20" s="275"/>
      <c r="C20" s="275"/>
      <c r="D20" s="275"/>
      <c r="E20" s="279"/>
      <c r="F20" s="280"/>
      <c r="G20" s="58" t="s">
        <v>20</v>
      </c>
      <c r="H20" s="58" t="s">
        <v>125</v>
      </c>
      <c r="I20" s="58" t="s">
        <v>20</v>
      </c>
      <c r="J20" s="58" t="s">
        <v>125</v>
      </c>
      <c r="K20" s="58" t="s">
        <v>126</v>
      </c>
      <c r="L20" s="276"/>
      <c r="M20" s="286"/>
    </row>
    <row r="21" spans="1:13" s="57" customFormat="1" ht="39.950000000000003" customHeight="1">
      <c r="A21" s="276"/>
      <c r="B21" s="276"/>
      <c r="C21" s="276"/>
      <c r="D21" s="276"/>
      <c r="E21" s="59" t="s">
        <v>127</v>
      </c>
      <c r="F21" s="58" t="s">
        <v>128</v>
      </c>
      <c r="G21" s="58" t="s">
        <v>129</v>
      </c>
      <c r="H21" s="58" t="s">
        <v>130</v>
      </c>
      <c r="I21" s="58" t="s">
        <v>129</v>
      </c>
      <c r="J21" s="58" t="s">
        <v>130</v>
      </c>
      <c r="K21" s="58" t="s">
        <v>131</v>
      </c>
      <c r="L21" s="58" t="s">
        <v>132</v>
      </c>
      <c r="M21" s="287"/>
    </row>
    <row r="22" spans="1:13">
      <c r="A22" s="60">
        <v>1</v>
      </c>
      <c r="B22" s="61">
        <v>2</v>
      </c>
      <c r="C22" s="61">
        <v>3</v>
      </c>
      <c r="D22" s="61">
        <v>4</v>
      </c>
      <c r="E22" s="288">
        <v>5</v>
      </c>
      <c r="F22" s="289"/>
      <c r="G22" s="61">
        <v>6</v>
      </c>
      <c r="H22" s="61">
        <v>7</v>
      </c>
      <c r="I22" s="61">
        <v>8</v>
      </c>
      <c r="J22" s="61">
        <v>9</v>
      </c>
      <c r="K22" s="61">
        <v>10</v>
      </c>
      <c r="L22" s="61">
        <v>11</v>
      </c>
      <c r="M22" s="61">
        <v>12</v>
      </c>
    </row>
    <row r="23" spans="1:13">
      <c r="A23" s="266"/>
      <c r="B23" s="267"/>
      <c r="C23" s="267"/>
      <c r="D23" s="267"/>
      <c r="E23" s="267"/>
      <c r="F23" s="267"/>
      <c r="G23" s="267"/>
      <c r="H23" s="267"/>
      <c r="I23" s="267"/>
      <c r="J23" s="267"/>
      <c r="K23" s="267"/>
      <c r="L23" s="267"/>
      <c r="M23" s="268"/>
    </row>
    <row r="24" spans="1:13" s="43" customFormat="1" ht="156.19999999999999" customHeight="1">
      <c r="A24" s="62"/>
      <c r="B24" s="63"/>
      <c r="C24" s="63"/>
      <c r="D24" s="63"/>
      <c r="E24" s="63"/>
      <c r="F24" s="264" t="s">
        <v>133</v>
      </c>
      <c r="G24" s="264"/>
      <c r="H24" s="264"/>
      <c r="I24" s="264"/>
      <c r="J24" s="264"/>
      <c r="K24" s="264"/>
      <c r="L24" s="63"/>
      <c r="M24" s="64"/>
    </row>
    <row r="25" spans="1:13" s="43" customFormat="1" ht="12.75" customHeight="1">
      <c r="A25" s="62"/>
      <c r="B25" s="63"/>
      <c r="C25" s="264" t="s">
        <v>134</v>
      </c>
      <c r="D25" s="264"/>
      <c r="E25" s="63"/>
      <c r="F25" s="63"/>
      <c r="G25" s="63"/>
      <c r="H25" s="63"/>
      <c r="I25" s="63"/>
      <c r="J25" s="63"/>
      <c r="K25" s="63"/>
      <c r="L25" s="63"/>
      <c r="M25" s="64"/>
    </row>
    <row r="26" spans="1:13" s="74" customFormat="1" ht="48">
      <c r="A26" s="65" t="s">
        <v>21</v>
      </c>
      <c r="B26" s="66" t="s">
        <v>135</v>
      </c>
      <c r="C26" s="67" t="s">
        <v>136</v>
      </c>
      <c r="D26" s="68" t="s">
        <v>137</v>
      </c>
      <c r="E26" s="69"/>
      <c r="F26" s="70">
        <v>1.4039999999999999</v>
      </c>
      <c r="G26" s="71">
        <v>458904</v>
      </c>
      <c r="H26" s="71">
        <v>47489</v>
      </c>
      <c r="I26" s="72">
        <f t="shared" ref="I26" si="0">G26*F26</f>
        <v>644301.21600000001</v>
      </c>
      <c r="J26" s="72">
        <f t="shared" ref="J26" si="1">H26*F26</f>
        <v>66674.555999999997</v>
      </c>
      <c r="K26" s="72">
        <f t="shared" ref="K26" si="2">I26-I27-J26</f>
        <v>11116.872000000076</v>
      </c>
      <c r="L26" s="72">
        <f t="shared" ref="L26" si="3">(I27+J27)*E26</f>
        <v>0</v>
      </c>
      <c r="M26" s="73">
        <f t="shared" ref="M26" si="4">I26+L26+L27</f>
        <v>644301.21600000001</v>
      </c>
    </row>
    <row r="27" spans="1:13" s="74" customFormat="1">
      <c r="A27" s="75"/>
      <c r="B27" s="76"/>
      <c r="C27" s="77"/>
      <c r="D27" s="78"/>
      <c r="E27" s="79"/>
      <c r="F27" s="78"/>
      <c r="G27" s="80">
        <v>403497</v>
      </c>
      <c r="H27" s="80">
        <v>13487</v>
      </c>
      <c r="I27" s="81">
        <f t="shared" ref="I27" si="5">G27*F26</f>
        <v>566509.78799999994</v>
      </c>
      <c r="J27" s="81">
        <f t="shared" ref="J27" si="6">H27*F26</f>
        <v>18935.748</v>
      </c>
      <c r="K27" s="81"/>
      <c r="L27" s="81"/>
      <c r="M27" s="81"/>
    </row>
    <row r="28" spans="1:13" s="43" customFormat="1" ht="21" hidden="1" outlineLevel="1">
      <c r="A28" s="82" t="s">
        <v>139</v>
      </c>
      <c r="B28" s="83" t="s">
        <v>140</v>
      </c>
      <c r="C28" s="84" t="s">
        <v>141</v>
      </c>
      <c r="D28" s="83" t="s">
        <v>142</v>
      </c>
      <c r="E28" s="85">
        <v>74.555999999999997</v>
      </c>
      <c r="F28" s="85">
        <v>104.676624</v>
      </c>
      <c r="G28" s="86">
        <v>5412</v>
      </c>
      <c r="H28" s="87"/>
      <c r="I28" s="88">
        <v>566510</v>
      </c>
      <c r="J28" s="88"/>
      <c r="K28" s="88"/>
      <c r="L28" s="89"/>
      <c r="M28" s="89"/>
    </row>
    <row r="29" spans="1:13" s="43" customFormat="1" hidden="1" outlineLevel="1">
      <c r="A29" s="82" t="s">
        <v>143</v>
      </c>
      <c r="B29" s="83" t="s">
        <v>34</v>
      </c>
      <c r="C29" s="84" t="s">
        <v>144</v>
      </c>
      <c r="D29" s="83" t="s">
        <v>142</v>
      </c>
      <c r="E29" s="85">
        <v>4.08</v>
      </c>
      <c r="F29" s="85">
        <v>5.7282999999999999</v>
      </c>
      <c r="G29" s="89"/>
      <c r="H29" s="87"/>
      <c r="I29" s="88"/>
      <c r="J29" s="88"/>
      <c r="K29" s="88"/>
      <c r="L29" s="89"/>
      <c r="M29" s="89"/>
    </row>
    <row r="30" spans="1:13" s="43" customFormat="1" hidden="1" outlineLevel="1">
      <c r="A30" s="90" t="s">
        <v>145</v>
      </c>
      <c r="B30" s="91" t="s">
        <v>146</v>
      </c>
      <c r="C30" s="92" t="s">
        <v>147</v>
      </c>
      <c r="D30" s="91" t="s">
        <v>148</v>
      </c>
      <c r="E30" s="93">
        <v>17.134799999999998</v>
      </c>
      <c r="F30" s="93">
        <v>24.057258999999998</v>
      </c>
      <c r="G30" s="94"/>
      <c r="H30" s="95">
        <v>230</v>
      </c>
      <c r="I30" s="96"/>
      <c r="J30" s="96">
        <v>5533</v>
      </c>
      <c r="K30" s="96"/>
      <c r="L30" s="97"/>
      <c r="M30" s="97"/>
    </row>
    <row r="31" spans="1:13" s="43" customFormat="1" ht="21" hidden="1" outlineLevel="1">
      <c r="A31" s="90" t="s">
        <v>149</v>
      </c>
      <c r="B31" s="91" t="s">
        <v>150</v>
      </c>
      <c r="C31" s="92" t="s">
        <v>151</v>
      </c>
      <c r="D31" s="91" t="s">
        <v>148</v>
      </c>
      <c r="E31" s="93">
        <v>2.0404800000000001</v>
      </c>
      <c r="F31" s="93">
        <v>2.8648340000000001</v>
      </c>
      <c r="G31" s="94"/>
      <c r="H31" s="95">
        <v>12979</v>
      </c>
      <c r="I31" s="96"/>
      <c r="J31" s="96">
        <v>37183</v>
      </c>
      <c r="K31" s="96"/>
      <c r="L31" s="97"/>
      <c r="M31" s="97"/>
    </row>
    <row r="32" spans="1:13" s="43" customFormat="1" hidden="1" outlineLevel="2">
      <c r="A32" s="98" t="s">
        <v>149</v>
      </c>
      <c r="B32" s="99"/>
      <c r="C32" s="100" t="s">
        <v>152</v>
      </c>
      <c r="D32" s="101" t="s">
        <v>142</v>
      </c>
      <c r="E32" s="102">
        <v>2.0404800000000001</v>
      </c>
      <c r="F32" s="102">
        <v>2.8648340000000001</v>
      </c>
      <c r="G32" s="103"/>
      <c r="H32" s="102">
        <v>3888</v>
      </c>
      <c r="I32" s="104"/>
      <c r="J32" s="104">
        <v>11138.47</v>
      </c>
      <c r="K32" s="96"/>
      <c r="L32" s="97"/>
      <c r="M32" s="97"/>
    </row>
    <row r="33" spans="1:13" s="43" customFormat="1" hidden="1" outlineLevel="1">
      <c r="A33" s="90" t="s">
        <v>153</v>
      </c>
      <c r="B33" s="91" t="s">
        <v>154</v>
      </c>
      <c r="C33" s="92" t="s">
        <v>155</v>
      </c>
      <c r="D33" s="91" t="s">
        <v>148</v>
      </c>
      <c r="E33" s="93">
        <v>2.0404800000000001</v>
      </c>
      <c r="F33" s="93">
        <v>2.8648340000000001</v>
      </c>
      <c r="G33" s="94"/>
      <c r="H33" s="95">
        <v>8363</v>
      </c>
      <c r="I33" s="96"/>
      <c r="J33" s="96">
        <v>23959</v>
      </c>
      <c r="K33" s="96"/>
      <c r="L33" s="97"/>
      <c r="M33" s="97"/>
    </row>
    <row r="34" spans="1:13" s="43" customFormat="1" hidden="1" outlineLevel="2">
      <c r="A34" s="98" t="s">
        <v>153</v>
      </c>
      <c r="B34" s="99"/>
      <c r="C34" s="100" t="s">
        <v>152</v>
      </c>
      <c r="D34" s="101" t="s">
        <v>142</v>
      </c>
      <c r="E34" s="102">
        <v>2.0404800000000001</v>
      </c>
      <c r="F34" s="102">
        <v>2.8648340000000001</v>
      </c>
      <c r="G34" s="103"/>
      <c r="H34" s="102">
        <v>2722</v>
      </c>
      <c r="I34" s="104"/>
      <c r="J34" s="104">
        <v>7798.08</v>
      </c>
      <c r="K34" s="96"/>
      <c r="L34" s="97"/>
      <c r="M34" s="97"/>
    </row>
    <row r="35" spans="1:13" s="43" customFormat="1" hidden="1" outlineLevel="1">
      <c r="A35" s="105" t="s">
        <v>156</v>
      </c>
      <c r="B35" s="106" t="s">
        <v>157</v>
      </c>
      <c r="C35" s="107" t="s">
        <v>158</v>
      </c>
      <c r="D35" s="106" t="s">
        <v>137</v>
      </c>
      <c r="E35" s="108">
        <v>2.5400000000000002E-3</v>
      </c>
      <c r="F35" s="108">
        <v>3.5660000000000002E-3</v>
      </c>
      <c r="G35" s="109">
        <v>1510113</v>
      </c>
      <c r="H35" s="110"/>
      <c r="I35" s="111"/>
      <c r="J35" s="111"/>
      <c r="K35" s="111">
        <v>5385</v>
      </c>
      <c r="L35" s="97"/>
      <c r="M35" s="97"/>
    </row>
    <row r="36" spans="1:13" s="43" customFormat="1" ht="21" hidden="1" outlineLevel="1">
      <c r="A36" s="105" t="s">
        <v>159</v>
      </c>
      <c r="B36" s="106" t="s">
        <v>160</v>
      </c>
      <c r="C36" s="107" t="s">
        <v>161</v>
      </c>
      <c r="D36" s="106" t="s">
        <v>162</v>
      </c>
      <c r="E36" s="108">
        <v>3.36</v>
      </c>
      <c r="F36" s="108">
        <v>4.7174399999999999</v>
      </c>
      <c r="G36" s="109">
        <v>1215</v>
      </c>
      <c r="H36" s="110"/>
      <c r="I36" s="111"/>
      <c r="J36" s="111"/>
      <c r="K36" s="111">
        <v>5732</v>
      </c>
      <c r="L36" s="97"/>
      <c r="M36" s="97"/>
    </row>
    <row r="37" spans="1:13" s="74" customFormat="1" ht="36" collapsed="1">
      <c r="A37" s="65" t="s">
        <v>32</v>
      </c>
      <c r="B37" s="66" t="s">
        <v>163</v>
      </c>
      <c r="C37" s="67" t="s">
        <v>164</v>
      </c>
      <c r="D37" s="68" t="s">
        <v>165</v>
      </c>
      <c r="E37" s="69"/>
      <c r="F37" s="112">
        <v>624</v>
      </c>
      <c r="G37" s="71">
        <v>4532</v>
      </c>
      <c r="H37" s="113"/>
      <c r="I37" s="72">
        <f t="shared" ref="I37" si="7">G37*F37</f>
        <v>2827968</v>
      </c>
      <c r="J37" s="72">
        <f t="shared" ref="J37" si="8">H37*F37</f>
        <v>0</v>
      </c>
      <c r="K37" s="72">
        <f t="shared" ref="K37" si="9">I37-I38-J37</f>
        <v>2827968</v>
      </c>
      <c r="L37" s="72">
        <f t="shared" ref="L37" si="10">(I38+J38)*E37</f>
        <v>0</v>
      </c>
      <c r="M37" s="73">
        <f t="shared" ref="M37" si="11">I37+L37+L38</f>
        <v>2827968</v>
      </c>
    </row>
    <row r="38" spans="1:13" s="74" customFormat="1">
      <c r="A38" s="75"/>
      <c r="B38" s="76"/>
      <c r="C38" s="77"/>
      <c r="D38" s="78"/>
      <c r="E38" s="79"/>
      <c r="F38" s="78"/>
      <c r="G38" s="114"/>
      <c r="H38" s="114"/>
      <c r="I38" s="81">
        <f t="shared" ref="I38" si="12">G38*F37</f>
        <v>0</v>
      </c>
      <c r="J38" s="81">
        <f t="shared" ref="J38" si="13">H38*F37</f>
        <v>0</v>
      </c>
      <c r="K38" s="81"/>
      <c r="L38" s="81"/>
      <c r="M38" s="81"/>
    </row>
    <row r="39" spans="1:13" s="74" customFormat="1" ht="48">
      <c r="A39" s="65" t="s">
        <v>34</v>
      </c>
      <c r="B39" s="66" t="s">
        <v>166</v>
      </c>
      <c r="C39" s="67" t="s">
        <v>167</v>
      </c>
      <c r="D39" s="68" t="s">
        <v>137</v>
      </c>
      <c r="E39" s="69"/>
      <c r="F39" s="70">
        <v>0.99180000000000001</v>
      </c>
      <c r="G39" s="71">
        <v>399523</v>
      </c>
      <c r="H39" s="71">
        <v>46737</v>
      </c>
      <c r="I39" s="72">
        <f t="shared" ref="I39" si="14">G39*F39</f>
        <v>396246.91139999998</v>
      </c>
      <c r="J39" s="72">
        <f t="shared" ref="J39" si="15">H39*F39</f>
        <v>46353.756600000001</v>
      </c>
      <c r="K39" s="72">
        <f t="shared" ref="K39" si="16">I39-I40-J39</f>
        <v>5871.4559999999692</v>
      </c>
      <c r="L39" s="72">
        <f t="shared" ref="L39" si="17">(I40+J40)*E39</f>
        <v>0</v>
      </c>
      <c r="M39" s="73">
        <f t="shared" ref="M39" si="18">I39+L39+L40</f>
        <v>396246.91139999998</v>
      </c>
    </row>
    <row r="40" spans="1:13" s="74" customFormat="1">
      <c r="A40" s="75"/>
      <c r="B40" s="76"/>
      <c r="C40" s="77"/>
      <c r="D40" s="78"/>
      <c r="E40" s="79"/>
      <c r="F40" s="78"/>
      <c r="G40" s="80">
        <v>346866</v>
      </c>
      <c r="H40" s="80">
        <v>13487</v>
      </c>
      <c r="I40" s="81">
        <f t="shared" ref="I40" si="19">G40*F39</f>
        <v>344021.69880000001</v>
      </c>
      <c r="J40" s="81">
        <f t="shared" ref="J40" si="20">H40*F39</f>
        <v>13376.4066</v>
      </c>
      <c r="K40" s="81"/>
      <c r="L40" s="81"/>
      <c r="M40" s="81"/>
    </row>
    <row r="41" spans="1:13" s="43" customFormat="1" ht="21" hidden="1" outlineLevel="1">
      <c r="A41" s="82" t="s">
        <v>168</v>
      </c>
      <c r="B41" s="83" t="s">
        <v>140</v>
      </c>
      <c r="C41" s="84" t="s">
        <v>141</v>
      </c>
      <c r="D41" s="83" t="s">
        <v>142</v>
      </c>
      <c r="E41" s="85">
        <v>64.091999999999999</v>
      </c>
      <c r="F41" s="85">
        <v>63.566445999999999</v>
      </c>
      <c r="G41" s="86">
        <v>5412</v>
      </c>
      <c r="H41" s="87"/>
      <c r="I41" s="88">
        <v>344022</v>
      </c>
      <c r="J41" s="88"/>
      <c r="K41" s="88"/>
      <c r="L41" s="89"/>
      <c r="M41" s="89"/>
    </row>
    <row r="42" spans="1:13" s="43" customFormat="1" hidden="1" outlineLevel="1">
      <c r="A42" s="82" t="s">
        <v>169</v>
      </c>
      <c r="B42" s="83" t="s">
        <v>34</v>
      </c>
      <c r="C42" s="84" t="s">
        <v>144</v>
      </c>
      <c r="D42" s="83" t="s">
        <v>142</v>
      </c>
      <c r="E42" s="85">
        <v>4.08</v>
      </c>
      <c r="F42" s="85">
        <v>4.0465</v>
      </c>
      <c r="G42" s="89"/>
      <c r="H42" s="87"/>
      <c r="I42" s="88"/>
      <c r="J42" s="88"/>
      <c r="K42" s="88"/>
      <c r="L42" s="89"/>
      <c r="M42" s="89"/>
    </row>
    <row r="43" spans="1:13" s="43" customFormat="1" hidden="1" outlineLevel="1">
      <c r="A43" s="90" t="s">
        <v>170</v>
      </c>
      <c r="B43" s="91" t="s">
        <v>146</v>
      </c>
      <c r="C43" s="92" t="s">
        <v>147</v>
      </c>
      <c r="D43" s="91" t="s">
        <v>148</v>
      </c>
      <c r="E43" s="93">
        <v>13.864800000000001</v>
      </c>
      <c r="F43" s="93">
        <v>13.751109</v>
      </c>
      <c r="G43" s="94"/>
      <c r="H43" s="95">
        <v>230</v>
      </c>
      <c r="I43" s="96"/>
      <c r="J43" s="96">
        <v>3163</v>
      </c>
      <c r="K43" s="96"/>
      <c r="L43" s="97"/>
      <c r="M43" s="97"/>
    </row>
    <row r="44" spans="1:13" s="43" customFormat="1" ht="21" hidden="1" outlineLevel="1">
      <c r="A44" s="90" t="s">
        <v>171</v>
      </c>
      <c r="B44" s="91" t="s">
        <v>150</v>
      </c>
      <c r="C44" s="92" t="s">
        <v>151</v>
      </c>
      <c r="D44" s="91" t="s">
        <v>148</v>
      </c>
      <c r="E44" s="93">
        <v>2.0404800000000001</v>
      </c>
      <c r="F44" s="93">
        <v>2.0237479999999999</v>
      </c>
      <c r="G44" s="94"/>
      <c r="H44" s="95">
        <v>12979</v>
      </c>
      <c r="I44" s="96"/>
      <c r="J44" s="96">
        <v>26266</v>
      </c>
      <c r="K44" s="96"/>
      <c r="L44" s="97"/>
      <c r="M44" s="97"/>
    </row>
    <row r="45" spans="1:13" s="43" customFormat="1" hidden="1" outlineLevel="2">
      <c r="A45" s="98" t="s">
        <v>171</v>
      </c>
      <c r="B45" s="99"/>
      <c r="C45" s="100" t="s">
        <v>152</v>
      </c>
      <c r="D45" s="101" t="s">
        <v>142</v>
      </c>
      <c r="E45" s="102">
        <v>2.0404800000000001</v>
      </c>
      <c r="F45" s="102">
        <v>2.0237479999999999</v>
      </c>
      <c r="G45" s="103"/>
      <c r="H45" s="102">
        <v>3888</v>
      </c>
      <c r="I45" s="104"/>
      <c r="J45" s="104">
        <v>7868.33</v>
      </c>
      <c r="K45" s="96"/>
      <c r="L45" s="97"/>
      <c r="M45" s="97"/>
    </row>
    <row r="46" spans="1:13" s="43" customFormat="1" hidden="1" outlineLevel="1">
      <c r="A46" s="90" t="s">
        <v>172</v>
      </c>
      <c r="B46" s="91" t="s">
        <v>154</v>
      </c>
      <c r="C46" s="92" t="s">
        <v>155</v>
      </c>
      <c r="D46" s="91" t="s">
        <v>148</v>
      </c>
      <c r="E46" s="93">
        <v>2.0404800000000001</v>
      </c>
      <c r="F46" s="93">
        <v>2.0237479999999999</v>
      </c>
      <c r="G46" s="94"/>
      <c r="H46" s="95">
        <v>8363</v>
      </c>
      <c r="I46" s="96"/>
      <c r="J46" s="96">
        <v>16925</v>
      </c>
      <c r="K46" s="96"/>
      <c r="L46" s="97"/>
      <c r="M46" s="97"/>
    </row>
    <row r="47" spans="1:13" s="43" customFormat="1" hidden="1" outlineLevel="2">
      <c r="A47" s="98" t="s">
        <v>172</v>
      </c>
      <c r="B47" s="99"/>
      <c r="C47" s="100" t="s">
        <v>152</v>
      </c>
      <c r="D47" s="101" t="s">
        <v>142</v>
      </c>
      <c r="E47" s="102">
        <v>2.0404800000000001</v>
      </c>
      <c r="F47" s="102">
        <v>2.0237479999999999</v>
      </c>
      <c r="G47" s="103"/>
      <c r="H47" s="102">
        <v>2722</v>
      </c>
      <c r="I47" s="104"/>
      <c r="J47" s="104">
        <v>5508.64</v>
      </c>
      <c r="K47" s="96"/>
      <c r="L47" s="97"/>
      <c r="M47" s="97"/>
    </row>
    <row r="48" spans="1:13" s="43" customFormat="1" hidden="1" outlineLevel="1">
      <c r="A48" s="105" t="s">
        <v>173</v>
      </c>
      <c r="B48" s="106" t="s">
        <v>157</v>
      </c>
      <c r="C48" s="107" t="s">
        <v>158</v>
      </c>
      <c r="D48" s="106" t="s">
        <v>137</v>
      </c>
      <c r="E48" s="108">
        <v>1.7799999999999999E-3</v>
      </c>
      <c r="F48" s="108">
        <v>1.7650000000000001E-3</v>
      </c>
      <c r="G48" s="109">
        <v>1510113</v>
      </c>
      <c r="H48" s="110"/>
      <c r="I48" s="111"/>
      <c r="J48" s="111"/>
      <c r="K48" s="111">
        <v>2666</v>
      </c>
      <c r="L48" s="97"/>
      <c r="M48" s="97"/>
    </row>
    <row r="49" spans="1:13" s="43" customFormat="1" ht="21" hidden="1" outlineLevel="1">
      <c r="A49" s="105" t="s">
        <v>174</v>
      </c>
      <c r="B49" s="106" t="s">
        <v>160</v>
      </c>
      <c r="C49" s="107" t="s">
        <v>161</v>
      </c>
      <c r="D49" s="106" t="s">
        <v>162</v>
      </c>
      <c r="E49" s="108">
        <v>2.66</v>
      </c>
      <c r="F49" s="108">
        <v>2.638188</v>
      </c>
      <c r="G49" s="109">
        <v>1215</v>
      </c>
      <c r="H49" s="110"/>
      <c r="I49" s="111"/>
      <c r="J49" s="111"/>
      <c r="K49" s="111">
        <v>3205</v>
      </c>
      <c r="L49" s="97"/>
      <c r="M49" s="97"/>
    </row>
    <row r="50" spans="1:13" s="74" customFormat="1" ht="36" collapsed="1">
      <c r="A50" s="65" t="s">
        <v>36</v>
      </c>
      <c r="B50" s="66" t="s">
        <v>175</v>
      </c>
      <c r="C50" s="67" t="s">
        <v>176</v>
      </c>
      <c r="D50" s="68" t="s">
        <v>165</v>
      </c>
      <c r="E50" s="69"/>
      <c r="F50" s="112">
        <v>342</v>
      </c>
      <c r="G50" s="71">
        <v>4700</v>
      </c>
      <c r="H50" s="113"/>
      <c r="I50" s="72">
        <f t="shared" ref="I50:I52" si="21">G50*F50</f>
        <v>1607400</v>
      </c>
      <c r="J50" s="72">
        <f t="shared" ref="J50:J52" si="22">H50*F50</f>
        <v>0</v>
      </c>
      <c r="K50" s="72">
        <f t="shared" ref="K50:K52" si="23">I50-I51-J50</f>
        <v>1607400</v>
      </c>
      <c r="L50" s="72">
        <f t="shared" ref="L50:L52" si="24">(I51+J51)*E50</f>
        <v>0</v>
      </c>
      <c r="M50" s="73">
        <f t="shared" ref="M50:M52" si="25">I50+L50+L51</f>
        <v>1607400</v>
      </c>
    </row>
    <row r="51" spans="1:13" s="74" customFormat="1">
      <c r="A51" s="75"/>
      <c r="B51" s="76"/>
      <c r="C51" s="77"/>
      <c r="D51" s="78"/>
      <c r="E51" s="79"/>
      <c r="F51" s="78"/>
      <c r="G51" s="114"/>
      <c r="H51" s="114"/>
      <c r="I51" s="81">
        <f t="shared" ref="I51:I53" si="26">G51*F50</f>
        <v>0</v>
      </c>
      <c r="J51" s="81">
        <f t="shared" ref="J51:J53" si="27">H51*F50</f>
        <v>0</v>
      </c>
      <c r="K51" s="81"/>
      <c r="L51" s="81"/>
      <c r="M51" s="81"/>
    </row>
    <row r="52" spans="1:13" s="74" customFormat="1" ht="24">
      <c r="A52" s="65" t="s">
        <v>38</v>
      </c>
      <c r="B52" s="66" t="s">
        <v>177</v>
      </c>
      <c r="C52" s="67" t="s">
        <v>178</v>
      </c>
      <c r="D52" s="68" t="s">
        <v>179</v>
      </c>
      <c r="E52" s="69"/>
      <c r="F52" s="112">
        <v>660</v>
      </c>
      <c r="G52" s="71">
        <v>179</v>
      </c>
      <c r="H52" s="71">
        <v>31</v>
      </c>
      <c r="I52" s="72">
        <f t="shared" si="21"/>
        <v>118140</v>
      </c>
      <c r="J52" s="72">
        <f t="shared" si="22"/>
        <v>20460</v>
      </c>
      <c r="K52" s="72">
        <f t="shared" si="23"/>
        <v>1320</v>
      </c>
      <c r="L52" s="72">
        <f t="shared" si="24"/>
        <v>0</v>
      </c>
      <c r="M52" s="73">
        <f t="shared" si="25"/>
        <v>118140</v>
      </c>
    </row>
    <row r="53" spans="1:13" s="74" customFormat="1">
      <c r="A53" s="75"/>
      <c r="B53" s="76"/>
      <c r="C53" s="77"/>
      <c r="D53" s="78"/>
      <c r="E53" s="79"/>
      <c r="F53" s="78"/>
      <c r="G53" s="80">
        <v>146</v>
      </c>
      <c r="H53" s="80">
        <v>10</v>
      </c>
      <c r="I53" s="81">
        <f t="shared" si="26"/>
        <v>96360</v>
      </c>
      <c r="J53" s="81">
        <f t="shared" si="27"/>
        <v>6600</v>
      </c>
      <c r="K53" s="81"/>
      <c r="L53" s="81"/>
      <c r="M53" s="81"/>
    </row>
    <row r="54" spans="1:13" s="43" customFormat="1" ht="21" hidden="1" outlineLevel="1">
      <c r="A54" s="82" t="s">
        <v>180</v>
      </c>
      <c r="B54" s="83" t="s">
        <v>181</v>
      </c>
      <c r="C54" s="84" t="s">
        <v>182</v>
      </c>
      <c r="D54" s="83" t="s">
        <v>142</v>
      </c>
      <c r="E54" s="85">
        <v>2.6200000000000001E-2</v>
      </c>
      <c r="F54" s="85">
        <v>17.292000000000002</v>
      </c>
      <c r="G54" s="86">
        <v>5590</v>
      </c>
      <c r="H54" s="87"/>
      <c r="I54" s="88">
        <v>96662</v>
      </c>
      <c r="J54" s="88"/>
      <c r="K54" s="88"/>
      <c r="L54" s="89"/>
      <c r="M54" s="89"/>
    </row>
    <row r="55" spans="1:13" s="43" customFormat="1" hidden="1" outlineLevel="1">
      <c r="A55" s="82" t="s">
        <v>183</v>
      </c>
      <c r="B55" s="83" t="s">
        <v>34</v>
      </c>
      <c r="C55" s="84" t="s">
        <v>144</v>
      </c>
      <c r="D55" s="83" t="s">
        <v>142</v>
      </c>
      <c r="E55" s="85">
        <v>2E-3</v>
      </c>
      <c r="F55" s="85">
        <v>1.32</v>
      </c>
      <c r="G55" s="89"/>
      <c r="H55" s="87"/>
      <c r="I55" s="88"/>
      <c r="J55" s="88"/>
      <c r="K55" s="88"/>
      <c r="L55" s="89"/>
      <c r="M55" s="89"/>
    </row>
    <row r="56" spans="1:13" s="43" customFormat="1" ht="21" hidden="1" outlineLevel="1">
      <c r="A56" s="90" t="s">
        <v>184</v>
      </c>
      <c r="B56" s="91" t="s">
        <v>150</v>
      </c>
      <c r="C56" s="92" t="s">
        <v>151</v>
      </c>
      <c r="D56" s="91" t="s">
        <v>148</v>
      </c>
      <c r="E56" s="93">
        <v>1.439E-3</v>
      </c>
      <c r="F56" s="93">
        <v>0.94960800000000001</v>
      </c>
      <c r="G56" s="94"/>
      <c r="H56" s="95">
        <v>12979</v>
      </c>
      <c r="I56" s="96"/>
      <c r="J56" s="96">
        <v>12325</v>
      </c>
      <c r="K56" s="96"/>
      <c r="L56" s="97"/>
      <c r="M56" s="97"/>
    </row>
    <row r="57" spans="1:13" s="43" customFormat="1" hidden="1" outlineLevel="2">
      <c r="A57" s="98" t="s">
        <v>184</v>
      </c>
      <c r="B57" s="99"/>
      <c r="C57" s="100" t="s">
        <v>152</v>
      </c>
      <c r="D57" s="101" t="s">
        <v>142</v>
      </c>
      <c r="E57" s="102">
        <v>1.439E-3</v>
      </c>
      <c r="F57" s="102">
        <v>0.94960800000000001</v>
      </c>
      <c r="G57" s="103"/>
      <c r="H57" s="102">
        <v>3888</v>
      </c>
      <c r="I57" s="104"/>
      <c r="J57" s="104">
        <v>3692.08</v>
      </c>
      <c r="K57" s="96"/>
      <c r="L57" s="97"/>
      <c r="M57" s="97"/>
    </row>
    <row r="58" spans="1:13" s="43" customFormat="1" hidden="1" outlineLevel="1">
      <c r="A58" s="90" t="s">
        <v>185</v>
      </c>
      <c r="B58" s="91" t="s">
        <v>154</v>
      </c>
      <c r="C58" s="92" t="s">
        <v>155</v>
      </c>
      <c r="D58" s="91" t="s">
        <v>148</v>
      </c>
      <c r="E58" s="93">
        <v>1.439E-3</v>
      </c>
      <c r="F58" s="93">
        <v>0.94960800000000001</v>
      </c>
      <c r="G58" s="94"/>
      <c r="H58" s="95">
        <v>8363</v>
      </c>
      <c r="I58" s="96"/>
      <c r="J58" s="96">
        <v>7942</v>
      </c>
      <c r="K58" s="96"/>
      <c r="L58" s="97"/>
      <c r="M58" s="97"/>
    </row>
    <row r="59" spans="1:13" s="43" customFormat="1" hidden="1" outlineLevel="2">
      <c r="A59" s="98" t="s">
        <v>185</v>
      </c>
      <c r="B59" s="99"/>
      <c r="C59" s="100" t="s">
        <v>152</v>
      </c>
      <c r="D59" s="101" t="s">
        <v>142</v>
      </c>
      <c r="E59" s="102">
        <v>1.439E-3</v>
      </c>
      <c r="F59" s="102">
        <v>0.94960800000000001</v>
      </c>
      <c r="G59" s="103"/>
      <c r="H59" s="102">
        <v>2722</v>
      </c>
      <c r="I59" s="104"/>
      <c r="J59" s="104">
        <v>2584.83</v>
      </c>
      <c r="K59" s="96"/>
      <c r="L59" s="97"/>
      <c r="M59" s="97"/>
    </row>
    <row r="60" spans="1:13" s="43" customFormat="1" hidden="1" outlineLevel="1">
      <c r="A60" s="105" t="s">
        <v>186</v>
      </c>
      <c r="B60" s="106" t="s">
        <v>187</v>
      </c>
      <c r="C60" s="107" t="s">
        <v>188</v>
      </c>
      <c r="D60" s="106" t="s">
        <v>162</v>
      </c>
      <c r="E60" s="108">
        <v>1.6000000000000001E-3</v>
      </c>
      <c r="F60" s="108">
        <v>1.056</v>
      </c>
      <c r="G60" s="109">
        <v>1293</v>
      </c>
      <c r="H60" s="110"/>
      <c r="I60" s="111"/>
      <c r="J60" s="111"/>
      <c r="K60" s="111">
        <v>1365</v>
      </c>
      <c r="L60" s="97"/>
      <c r="M60" s="97"/>
    </row>
    <row r="61" spans="1:13" s="74" customFormat="1" ht="24" collapsed="1">
      <c r="A61" s="65" t="s">
        <v>40</v>
      </c>
      <c r="B61" s="66" t="s">
        <v>189</v>
      </c>
      <c r="C61" s="67" t="s">
        <v>190</v>
      </c>
      <c r="D61" s="68" t="s">
        <v>191</v>
      </c>
      <c r="E61" s="69"/>
      <c r="F61" s="112">
        <v>660</v>
      </c>
      <c r="G61" s="71">
        <v>720</v>
      </c>
      <c r="H61" s="113"/>
      <c r="I61" s="72">
        <f t="shared" ref="I61:I63" si="28">G61*F61</f>
        <v>475200</v>
      </c>
      <c r="J61" s="72">
        <f t="shared" ref="J61:J63" si="29">H61*F61</f>
        <v>0</v>
      </c>
      <c r="K61" s="72">
        <f t="shared" ref="K61:K63" si="30">I61-I62-J61</f>
        <v>475200</v>
      </c>
      <c r="L61" s="72">
        <f t="shared" ref="L61:L63" si="31">(I62+J62)*E61</f>
        <v>0</v>
      </c>
      <c r="M61" s="73">
        <f t="shared" ref="M61:M63" si="32">I61+L61+L62</f>
        <v>475200</v>
      </c>
    </row>
    <row r="62" spans="1:13" s="74" customFormat="1">
      <c r="A62" s="75"/>
      <c r="B62" s="76"/>
      <c r="C62" s="77"/>
      <c r="D62" s="78"/>
      <c r="E62" s="79"/>
      <c r="F62" s="78"/>
      <c r="G62" s="114"/>
      <c r="H62" s="114"/>
      <c r="I62" s="81">
        <f t="shared" ref="I62:I64" si="33">G62*F61</f>
        <v>0</v>
      </c>
      <c r="J62" s="81">
        <f t="shared" ref="J62:J64" si="34">H62*F61</f>
        <v>0</v>
      </c>
      <c r="K62" s="81"/>
      <c r="L62" s="81"/>
      <c r="M62" s="81"/>
    </row>
    <row r="63" spans="1:13" s="74" customFormat="1" ht="24">
      <c r="A63" s="65" t="s">
        <v>42</v>
      </c>
      <c r="B63" s="66" t="s">
        <v>192</v>
      </c>
      <c r="C63" s="67" t="s">
        <v>193</v>
      </c>
      <c r="D63" s="68" t="s">
        <v>179</v>
      </c>
      <c r="E63" s="69"/>
      <c r="F63" s="112">
        <v>320</v>
      </c>
      <c r="G63" s="71">
        <v>234</v>
      </c>
      <c r="H63" s="71">
        <v>84</v>
      </c>
      <c r="I63" s="72">
        <f t="shared" si="28"/>
        <v>74880</v>
      </c>
      <c r="J63" s="72">
        <f t="shared" si="29"/>
        <v>26880</v>
      </c>
      <c r="K63" s="72">
        <f t="shared" si="30"/>
        <v>1280</v>
      </c>
      <c r="L63" s="72">
        <f t="shared" si="31"/>
        <v>0</v>
      </c>
      <c r="M63" s="73">
        <f t="shared" si="32"/>
        <v>74880</v>
      </c>
    </row>
    <row r="64" spans="1:13" s="74" customFormat="1">
      <c r="A64" s="75"/>
      <c r="B64" s="76"/>
      <c r="C64" s="77"/>
      <c r="D64" s="78"/>
      <c r="E64" s="79"/>
      <c r="F64" s="78"/>
      <c r="G64" s="80">
        <v>146</v>
      </c>
      <c r="H64" s="80">
        <v>26</v>
      </c>
      <c r="I64" s="81">
        <f t="shared" si="33"/>
        <v>46720</v>
      </c>
      <c r="J64" s="81">
        <f t="shared" si="34"/>
        <v>8320</v>
      </c>
      <c r="K64" s="81"/>
      <c r="L64" s="81"/>
      <c r="M64" s="81"/>
    </row>
    <row r="65" spans="1:13" s="43" customFormat="1" ht="21" hidden="1" outlineLevel="1">
      <c r="A65" s="82" t="s">
        <v>194</v>
      </c>
      <c r="B65" s="83" t="s">
        <v>181</v>
      </c>
      <c r="C65" s="84" t="s">
        <v>182</v>
      </c>
      <c r="D65" s="83" t="s">
        <v>142</v>
      </c>
      <c r="E65" s="85">
        <v>2.6200000000000001E-2</v>
      </c>
      <c r="F65" s="85">
        <v>8.3840000000000003</v>
      </c>
      <c r="G65" s="86">
        <v>5590</v>
      </c>
      <c r="H65" s="87"/>
      <c r="I65" s="88">
        <v>46867</v>
      </c>
      <c r="J65" s="88"/>
      <c r="K65" s="88"/>
      <c r="L65" s="89"/>
      <c r="M65" s="89"/>
    </row>
    <row r="66" spans="1:13" s="43" customFormat="1" hidden="1" outlineLevel="1">
      <c r="A66" s="82" t="s">
        <v>195</v>
      </c>
      <c r="B66" s="83" t="s">
        <v>34</v>
      </c>
      <c r="C66" s="84" t="s">
        <v>144</v>
      </c>
      <c r="D66" s="83" t="s">
        <v>142</v>
      </c>
      <c r="E66" s="85">
        <v>8.0000000000000002E-3</v>
      </c>
      <c r="F66" s="85">
        <v>2.56</v>
      </c>
      <c r="G66" s="89"/>
      <c r="H66" s="87"/>
      <c r="I66" s="88"/>
      <c r="J66" s="88"/>
      <c r="K66" s="88"/>
      <c r="L66" s="89"/>
      <c r="M66" s="89"/>
    </row>
    <row r="67" spans="1:13" s="43" customFormat="1" ht="21" hidden="1" outlineLevel="1">
      <c r="A67" s="90" t="s">
        <v>196</v>
      </c>
      <c r="B67" s="91" t="s">
        <v>150</v>
      </c>
      <c r="C67" s="92" t="s">
        <v>151</v>
      </c>
      <c r="D67" s="91" t="s">
        <v>148</v>
      </c>
      <c r="E67" s="93">
        <v>3.9240000000000004E-3</v>
      </c>
      <c r="F67" s="93">
        <v>1.2556799999999999</v>
      </c>
      <c r="G67" s="94"/>
      <c r="H67" s="95">
        <v>12979</v>
      </c>
      <c r="I67" s="96"/>
      <c r="J67" s="96">
        <v>16297</v>
      </c>
      <c r="K67" s="96"/>
      <c r="L67" s="97"/>
      <c r="M67" s="97"/>
    </row>
    <row r="68" spans="1:13" s="43" customFormat="1" hidden="1" outlineLevel="2">
      <c r="A68" s="98" t="s">
        <v>196</v>
      </c>
      <c r="B68" s="99"/>
      <c r="C68" s="100" t="s">
        <v>152</v>
      </c>
      <c r="D68" s="101" t="s">
        <v>142</v>
      </c>
      <c r="E68" s="102">
        <v>3.9240000000000004E-3</v>
      </c>
      <c r="F68" s="102">
        <v>1.2556799999999999</v>
      </c>
      <c r="G68" s="103"/>
      <c r="H68" s="102">
        <v>3888</v>
      </c>
      <c r="I68" s="104"/>
      <c r="J68" s="104">
        <v>4882.08</v>
      </c>
      <c r="K68" s="96"/>
      <c r="L68" s="97"/>
      <c r="M68" s="97"/>
    </row>
    <row r="69" spans="1:13" s="43" customFormat="1" hidden="1" outlineLevel="1">
      <c r="A69" s="90" t="s">
        <v>197</v>
      </c>
      <c r="B69" s="91" t="s">
        <v>154</v>
      </c>
      <c r="C69" s="92" t="s">
        <v>155</v>
      </c>
      <c r="D69" s="91" t="s">
        <v>148</v>
      </c>
      <c r="E69" s="93">
        <v>3.9240000000000004E-3</v>
      </c>
      <c r="F69" s="93">
        <v>1.2556799999999999</v>
      </c>
      <c r="G69" s="94"/>
      <c r="H69" s="95">
        <v>8363</v>
      </c>
      <c r="I69" s="96"/>
      <c r="J69" s="96">
        <v>10501</v>
      </c>
      <c r="K69" s="96"/>
      <c r="L69" s="97"/>
      <c r="M69" s="97"/>
    </row>
    <row r="70" spans="1:13" s="43" customFormat="1" hidden="1" outlineLevel="2">
      <c r="A70" s="98" t="s">
        <v>197</v>
      </c>
      <c r="B70" s="99"/>
      <c r="C70" s="100" t="s">
        <v>152</v>
      </c>
      <c r="D70" s="101" t="s">
        <v>142</v>
      </c>
      <c r="E70" s="102">
        <v>3.9240000000000004E-3</v>
      </c>
      <c r="F70" s="102">
        <v>1.2556799999999999</v>
      </c>
      <c r="G70" s="103"/>
      <c r="H70" s="102">
        <v>2722</v>
      </c>
      <c r="I70" s="104"/>
      <c r="J70" s="104">
        <v>3417.96</v>
      </c>
      <c r="K70" s="96"/>
      <c r="L70" s="97"/>
      <c r="M70" s="97"/>
    </row>
    <row r="71" spans="1:13" s="43" customFormat="1" hidden="1" outlineLevel="1">
      <c r="A71" s="105" t="s">
        <v>198</v>
      </c>
      <c r="B71" s="106" t="s">
        <v>187</v>
      </c>
      <c r="C71" s="107" t="s">
        <v>188</v>
      </c>
      <c r="D71" s="106" t="s">
        <v>162</v>
      </c>
      <c r="E71" s="108">
        <v>3.0999999999999999E-3</v>
      </c>
      <c r="F71" s="108">
        <v>0.99199999999999999</v>
      </c>
      <c r="G71" s="109">
        <v>1293</v>
      </c>
      <c r="H71" s="110"/>
      <c r="I71" s="111"/>
      <c r="J71" s="111"/>
      <c r="K71" s="111">
        <v>1283</v>
      </c>
      <c r="L71" s="97"/>
      <c r="M71" s="97"/>
    </row>
    <row r="72" spans="1:13" s="74" customFormat="1" ht="24" collapsed="1">
      <c r="A72" s="65" t="s">
        <v>44</v>
      </c>
      <c r="B72" s="66" t="s">
        <v>199</v>
      </c>
      <c r="C72" s="67" t="s">
        <v>200</v>
      </c>
      <c r="D72" s="68" t="s">
        <v>191</v>
      </c>
      <c r="E72" s="69"/>
      <c r="F72" s="112">
        <v>320</v>
      </c>
      <c r="G72" s="71">
        <v>819</v>
      </c>
      <c r="H72" s="113"/>
      <c r="I72" s="72">
        <f t="shared" ref="I72" si="35">G72*F72</f>
        <v>262080</v>
      </c>
      <c r="J72" s="72">
        <f t="shared" ref="J72" si="36">H72*F72</f>
        <v>0</v>
      </c>
      <c r="K72" s="72">
        <f t="shared" ref="K72" si="37">I72-I73-J72</f>
        <v>262080</v>
      </c>
      <c r="L72" s="72">
        <f t="shared" ref="L72" si="38">(I73+J73)*E72</f>
        <v>0</v>
      </c>
      <c r="M72" s="73">
        <f t="shared" ref="M72" si="39">I72+L72+L73</f>
        <v>262080</v>
      </c>
    </row>
    <row r="73" spans="1:13" s="74" customFormat="1">
      <c r="A73" s="75"/>
      <c r="B73" s="76"/>
      <c r="C73" s="77"/>
      <c r="D73" s="78"/>
      <c r="E73" s="79"/>
      <c r="F73" s="78"/>
      <c r="G73" s="114"/>
      <c r="H73" s="114"/>
      <c r="I73" s="81">
        <f t="shared" ref="I73" si="40">G73*F72</f>
        <v>0</v>
      </c>
      <c r="J73" s="81">
        <f t="shared" ref="J73" si="41">H73*F72</f>
        <v>0</v>
      </c>
      <c r="K73" s="81"/>
      <c r="L73" s="81"/>
      <c r="M73" s="81"/>
    </row>
    <row r="74" spans="1:13" s="74" customFormat="1" ht="36">
      <c r="A74" s="65" t="s">
        <v>46</v>
      </c>
      <c r="B74" s="66" t="s">
        <v>201</v>
      </c>
      <c r="C74" s="67" t="s">
        <v>202</v>
      </c>
      <c r="D74" s="68" t="s">
        <v>179</v>
      </c>
      <c r="E74" s="69"/>
      <c r="F74" s="112">
        <v>490</v>
      </c>
      <c r="G74" s="71">
        <v>2002</v>
      </c>
      <c r="H74" s="71">
        <v>181</v>
      </c>
      <c r="I74" s="72">
        <f t="shared" ref="I74:I88" si="42">G74*F74</f>
        <v>980980</v>
      </c>
      <c r="J74" s="72">
        <f t="shared" ref="J74:J88" si="43">H74*F74</f>
        <v>88690</v>
      </c>
      <c r="K74" s="72">
        <f t="shared" ref="K74:K88" si="44">I74-I75-J74</f>
        <v>32830</v>
      </c>
      <c r="L74" s="72">
        <f t="shared" ref="L74:L88" si="45">(I75+J75)*E74</f>
        <v>0</v>
      </c>
      <c r="M74" s="73">
        <f t="shared" ref="M74:M88" si="46">I74+L74+L75</f>
        <v>980980</v>
      </c>
    </row>
    <row r="75" spans="1:13" s="74" customFormat="1">
      <c r="A75" s="75"/>
      <c r="B75" s="76"/>
      <c r="C75" s="77"/>
      <c r="D75" s="78"/>
      <c r="E75" s="79"/>
      <c r="F75" s="78"/>
      <c r="G75" s="80">
        <v>1754</v>
      </c>
      <c r="H75" s="80">
        <v>36</v>
      </c>
      <c r="I75" s="81">
        <f t="shared" ref="I75:I89" si="47">G75*F74</f>
        <v>859460</v>
      </c>
      <c r="J75" s="81">
        <f t="shared" ref="J75:J89" si="48">H75*F74</f>
        <v>17640</v>
      </c>
      <c r="K75" s="81"/>
      <c r="L75" s="81"/>
      <c r="M75" s="81"/>
    </row>
    <row r="76" spans="1:13" s="43" customFormat="1" ht="21" hidden="1" outlineLevel="1">
      <c r="A76" s="82" t="s">
        <v>203</v>
      </c>
      <c r="B76" s="83" t="s">
        <v>181</v>
      </c>
      <c r="C76" s="84" t="s">
        <v>182</v>
      </c>
      <c r="D76" s="83" t="s">
        <v>142</v>
      </c>
      <c r="E76" s="85">
        <v>0.31390000000000001</v>
      </c>
      <c r="F76" s="85">
        <v>153.81100000000001</v>
      </c>
      <c r="G76" s="86">
        <v>5590</v>
      </c>
      <c r="H76" s="87"/>
      <c r="I76" s="88">
        <f t="shared" si="42"/>
        <v>859803.49</v>
      </c>
      <c r="J76" s="88">
        <f t="shared" si="43"/>
        <v>0</v>
      </c>
      <c r="K76" s="88">
        <f t="shared" si="44"/>
        <v>859803.49</v>
      </c>
      <c r="L76" s="89">
        <f t="shared" si="45"/>
        <v>0</v>
      </c>
      <c r="M76" s="89">
        <f t="shared" si="46"/>
        <v>859803.49</v>
      </c>
    </row>
    <row r="77" spans="1:13" s="43" customFormat="1" hidden="1" outlineLevel="1">
      <c r="A77" s="82" t="s">
        <v>204</v>
      </c>
      <c r="B77" s="83" t="s">
        <v>34</v>
      </c>
      <c r="C77" s="84" t="s">
        <v>144</v>
      </c>
      <c r="D77" s="83" t="s">
        <v>142</v>
      </c>
      <c r="E77" s="85">
        <v>0.01</v>
      </c>
      <c r="F77" s="85">
        <v>4.9000000000000004</v>
      </c>
      <c r="G77" s="89"/>
      <c r="H77" s="87"/>
      <c r="I77" s="88">
        <f t="shared" si="47"/>
        <v>0</v>
      </c>
      <c r="J77" s="88">
        <f t="shared" si="48"/>
        <v>0</v>
      </c>
      <c r="K77" s="88"/>
      <c r="L77" s="89"/>
      <c r="M77" s="89"/>
    </row>
    <row r="78" spans="1:13" s="43" customFormat="1" hidden="1" outlineLevel="1">
      <c r="A78" s="90" t="s">
        <v>205</v>
      </c>
      <c r="B78" s="91" t="s">
        <v>146</v>
      </c>
      <c r="C78" s="92" t="s">
        <v>147</v>
      </c>
      <c r="D78" s="91" t="s">
        <v>148</v>
      </c>
      <c r="E78" s="93">
        <v>0.28776000000000002</v>
      </c>
      <c r="F78" s="93">
        <v>141.00239999999999</v>
      </c>
      <c r="G78" s="94"/>
      <c r="H78" s="95">
        <v>230</v>
      </c>
      <c r="I78" s="96">
        <f t="shared" si="42"/>
        <v>0</v>
      </c>
      <c r="J78" s="96">
        <f t="shared" si="43"/>
        <v>32430.552</v>
      </c>
      <c r="K78" s="96">
        <f t="shared" si="44"/>
        <v>-32430.552</v>
      </c>
      <c r="L78" s="97">
        <f t="shared" si="45"/>
        <v>526620.98624889599</v>
      </c>
      <c r="M78" s="97">
        <f t="shared" si="46"/>
        <v>526620.98624889599</v>
      </c>
    </row>
    <row r="79" spans="1:13" s="43" customFormat="1" ht="21" hidden="1" outlineLevel="1">
      <c r="A79" s="90" t="s">
        <v>206</v>
      </c>
      <c r="B79" s="91" t="s">
        <v>150</v>
      </c>
      <c r="C79" s="92" t="s">
        <v>151</v>
      </c>
      <c r="D79" s="91" t="s">
        <v>148</v>
      </c>
      <c r="E79" s="93">
        <v>5.3629999999999997E-3</v>
      </c>
      <c r="F79" s="93">
        <v>2.6277720000000002</v>
      </c>
      <c r="G79" s="94"/>
      <c r="H79" s="95">
        <v>12979</v>
      </c>
      <c r="I79" s="96">
        <f t="shared" si="47"/>
        <v>0</v>
      </c>
      <c r="J79" s="96">
        <f t="shared" si="48"/>
        <v>1830070.1495999999</v>
      </c>
      <c r="K79" s="96"/>
      <c r="L79" s="97"/>
      <c r="M79" s="97"/>
    </row>
    <row r="80" spans="1:13" s="43" customFormat="1" hidden="1" outlineLevel="2">
      <c r="A80" s="98" t="s">
        <v>206</v>
      </c>
      <c r="B80" s="99"/>
      <c r="C80" s="100" t="s">
        <v>152</v>
      </c>
      <c r="D80" s="101" t="s">
        <v>142</v>
      </c>
      <c r="E80" s="102">
        <v>5.3629999999999997E-3</v>
      </c>
      <c r="F80" s="102">
        <v>2.6277720000000002</v>
      </c>
      <c r="G80" s="103"/>
      <c r="H80" s="102">
        <v>3888</v>
      </c>
      <c r="I80" s="104">
        <f t="shared" si="42"/>
        <v>0</v>
      </c>
      <c r="J80" s="104">
        <f t="shared" si="43"/>
        <v>10216.777536000001</v>
      </c>
      <c r="K80" s="96">
        <f t="shared" si="44"/>
        <v>-10216.777536000001</v>
      </c>
      <c r="L80" s="97">
        <f t="shared" si="45"/>
        <v>117.857594956668</v>
      </c>
      <c r="M80" s="97">
        <f t="shared" si="46"/>
        <v>117.857594956668</v>
      </c>
    </row>
    <row r="81" spans="1:13" s="43" customFormat="1" hidden="1" outlineLevel="1">
      <c r="A81" s="90" t="s">
        <v>207</v>
      </c>
      <c r="B81" s="91" t="s">
        <v>154</v>
      </c>
      <c r="C81" s="92" t="s">
        <v>155</v>
      </c>
      <c r="D81" s="91" t="s">
        <v>148</v>
      </c>
      <c r="E81" s="93">
        <v>5.3629999999999997E-3</v>
      </c>
      <c r="F81" s="93">
        <v>2.6277720000000002</v>
      </c>
      <c r="G81" s="94"/>
      <c r="H81" s="95">
        <v>8363</v>
      </c>
      <c r="I81" s="96">
        <f t="shared" si="47"/>
        <v>0</v>
      </c>
      <c r="J81" s="96">
        <f t="shared" si="48"/>
        <v>21976.057236000001</v>
      </c>
      <c r="K81" s="96"/>
      <c r="L81" s="97"/>
      <c r="M81" s="97"/>
    </row>
    <row r="82" spans="1:13" s="43" customFormat="1" hidden="1" outlineLevel="2">
      <c r="A82" s="98" t="s">
        <v>207</v>
      </c>
      <c r="B82" s="99"/>
      <c r="C82" s="100" t="s">
        <v>152</v>
      </c>
      <c r="D82" s="101" t="s">
        <v>142</v>
      </c>
      <c r="E82" s="102">
        <v>5.3629999999999997E-3</v>
      </c>
      <c r="F82" s="102">
        <v>2.6277720000000002</v>
      </c>
      <c r="G82" s="103"/>
      <c r="H82" s="102">
        <v>2722</v>
      </c>
      <c r="I82" s="104">
        <f t="shared" si="42"/>
        <v>0</v>
      </c>
      <c r="J82" s="104">
        <f t="shared" si="43"/>
        <v>7152.7953840000009</v>
      </c>
      <c r="K82" s="96">
        <f t="shared" si="44"/>
        <v>-7998.9379680000011</v>
      </c>
      <c r="L82" s="97">
        <f t="shared" si="45"/>
        <v>4.5378626779919999</v>
      </c>
      <c r="M82" s="97">
        <f t="shared" si="46"/>
        <v>4.5378626779919999</v>
      </c>
    </row>
    <row r="83" spans="1:13" s="43" customFormat="1" hidden="1" outlineLevel="1">
      <c r="A83" s="105" t="s">
        <v>208</v>
      </c>
      <c r="B83" s="106" t="s">
        <v>209</v>
      </c>
      <c r="C83" s="107" t="s">
        <v>210</v>
      </c>
      <c r="D83" s="106" t="s">
        <v>211</v>
      </c>
      <c r="E83" s="108">
        <v>4.3999999999999997E-2</v>
      </c>
      <c r="F83" s="108">
        <v>21.56</v>
      </c>
      <c r="G83" s="109">
        <v>322</v>
      </c>
      <c r="H83" s="110"/>
      <c r="I83" s="111">
        <f t="shared" si="47"/>
        <v>846.14258400000006</v>
      </c>
      <c r="J83" s="111">
        <f t="shared" si="48"/>
        <v>0</v>
      </c>
      <c r="K83" s="111"/>
      <c r="L83" s="97"/>
      <c r="M83" s="97"/>
    </row>
    <row r="84" spans="1:13" s="43" customFormat="1" hidden="1" outlineLevel="1">
      <c r="A84" s="105" t="s">
        <v>212</v>
      </c>
      <c r="B84" s="106" t="s">
        <v>187</v>
      </c>
      <c r="C84" s="107" t="s">
        <v>188</v>
      </c>
      <c r="D84" s="106" t="s">
        <v>162</v>
      </c>
      <c r="E84" s="108">
        <v>6.0000000000000001E-3</v>
      </c>
      <c r="F84" s="108">
        <v>2.94</v>
      </c>
      <c r="G84" s="109">
        <v>1293</v>
      </c>
      <c r="H84" s="110"/>
      <c r="I84" s="111">
        <f t="shared" si="42"/>
        <v>3801.42</v>
      </c>
      <c r="J84" s="111">
        <f t="shared" si="43"/>
        <v>0</v>
      </c>
      <c r="K84" s="111">
        <f t="shared" si="44"/>
        <v>229.32000000000016</v>
      </c>
      <c r="L84" s="97">
        <f t="shared" si="45"/>
        <v>21.432600000000001</v>
      </c>
      <c r="M84" s="97">
        <f t="shared" si="46"/>
        <v>3822.8526000000002</v>
      </c>
    </row>
    <row r="85" spans="1:13" s="43" customFormat="1" ht="21" hidden="1" outlineLevel="1">
      <c r="A85" s="105" t="s">
        <v>213</v>
      </c>
      <c r="B85" s="106" t="s">
        <v>160</v>
      </c>
      <c r="C85" s="107" t="s">
        <v>161</v>
      </c>
      <c r="D85" s="106" t="s">
        <v>162</v>
      </c>
      <c r="E85" s="108">
        <v>3.6799999999999999E-2</v>
      </c>
      <c r="F85" s="108">
        <v>18.032</v>
      </c>
      <c r="G85" s="109">
        <v>1215</v>
      </c>
      <c r="H85" s="110"/>
      <c r="I85" s="111">
        <f t="shared" si="47"/>
        <v>3572.1</v>
      </c>
      <c r="J85" s="111">
        <f t="shared" si="48"/>
        <v>0</v>
      </c>
      <c r="K85" s="111"/>
      <c r="L85" s="97"/>
      <c r="M85" s="97"/>
    </row>
    <row r="86" spans="1:13" s="74" customFormat="1" ht="24" collapsed="1">
      <c r="A86" s="65" t="s">
        <v>48</v>
      </c>
      <c r="B86" s="66" t="s">
        <v>214</v>
      </c>
      <c r="C86" s="67" t="s">
        <v>215</v>
      </c>
      <c r="D86" s="68" t="s">
        <v>191</v>
      </c>
      <c r="E86" s="69"/>
      <c r="F86" s="112">
        <v>490</v>
      </c>
      <c r="G86" s="71">
        <v>825</v>
      </c>
      <c r="H86" s="113"/>
      <c r="I86" s="72">
        <f t="shared" si="42"/>
        <v>404250</v>
      </c>
      <c r="J86" s="72">
        <f t="shared" si="43"/>
        <v>0</v>
      </c>
      <c r="K86" s="72">
        <f t="shared" si="44"/>
        <v>404250</v>
      </c>
      <c r="L86" s="72">
        <f t="shared" si="45"/>
        <v>0</v>
      </c>
      <c r="M86" s="73">
        <f t="shared" si="46"/>
        <v>404250</v>
      </c>
    </row>
    <row r="87" spans="1:13" s="74" customFormat="1">
      <c r="A87" s="75"/>
      <c r="B87" s="76"/>
      <c r="C87" s="77"/>
      <c r="D87" s="78"/>
      <c r="E87" s="79"/>
      <c r="F87" s="78"/>
      <c r="G87" s="114"/>
      <c r="H87" s="114"/>
      <c r="I87" s="81">
        <f t="shared" si="47"/>
        <v>0</v>
      </c>
      <c r="J87" s="81">
        <f t="shared" si="48"/>
        <v>0</v>
      </c>
      <c r="K87" s="81"/>
      <c r="L87" s="81"/>
      <c r="M87" s="81"/>
    </row>
    <row r="88" spans="1:13" s="74" customFormat="1" ht="24">
      <c r="A88" s="65" t="s">
        <v>50</v>
      </c>
      <c r="B88" s="66" t="s">
        <v>216</v>
      </c>
      <c r="C88" s="67" t="s">
        <v>217</v>
      </c>
      <c r="D88" s="68" t="s">
        <v>191</v>
      </c>
      <c r="E88" s="69"/>
      <c r="F88" s="112">
        <v>980</v>
      </c>
      <c r="G88" s="71">
        <v>148</v>
      </c>
      <c r="H88" s="113"/>
      <c r="I88" s="72">
        <f t="shared" si="42"/>
        <v>145040</v>
      </c>
      <c r="J88" s="72">
        <f t="shared" si="43"/>
        <v>0</v>
      </c>
      <c r="K88" s="72">
        <f t="shared" si="44"/>
        <v>145040</v>
      </c>
      <c r="L88" s="72">
        <f t="shared" si="45"/>
        <v>0</v>
      </c>
      <c r="M88" s="73">
        <f t="shared" si="46"/>
        <v>145040</v>
      </c>
    </row>
    <row r="89" spans="1:13" s="74" customFormat="1">
      <c r="A89" s="75"/>
      <c r="B89" s="76"/>
      <c r="C89" s="77"/>
      <c r="D89" s="78"/>
      <c r="E89" s="79"/>
      <c r="F89" s="78"/>
      <c r="G89" s="114"/>
      <c r="H89" s="114"/>
      <c r="I89" s="81">
        <f t="shared" si="47"/>
        <v>0</v>
      </c>
      <c r="J89" s="81">
        <f t="shared" si="48"/>
        <v>0</v>
      </c>
      <c r="K89" s="81"/>
      <c r="L89" s="81"/>
      <c r="M89" s="81"/>
    </row>
    <row r="90" spans="1:13" s="74" customFormat="1" ht="48">
      <c r="A90" s="65" t="s">
        <v>52</v>
      </c>
      <c r="B90" s="66" t="s">
        <v>135</v>
      </c>
      <c r="C90" s="67" t="s">
        <v>136</v>
      </c>
      <c r="D90" s="68" t="s">
        <v>137</v>
      </c>
      <c r="E90" s="69"/>
      <c r="F90" s="70">
        <v>5.8799999999999998E-2</v>
      </c>
      <c r="G90" s="71">
        <v>458904</v>
      </c>
      <c r="H90" s="71">
        <v>47489</v>
      </c>
      <c r="I90" s="72">
        <f t="shared" ref="I90" si="49">G90*F90</f>
        <v>26983.555199999999</v>
      </c>
      <c r="J90" s="72">
        <f t="shared" ref="J90" si="50">H90*F90</f>
        <v>2792.3532</v>
      </c>
      <c r="K90" s="72">
        <f t="shared" ref="K90" si="51">I90-I91-J90</f>
        <v>465.57839999999987</v>
      </c>
      <c r="L90" s="72">
        <f t="shared" ref="L90" si="52">(I91+J91)*E90</f>
        <v>0</v>
      </c>
      <c r="M90" s="73">
        <f t="shared" ref="M90" si="53">I90+L90+L91</f>
        <v>26983.555199999999</v>
      </c>
    </row>
    <row r="91" spans="1:13" s="74" customFormat="1">
      <c r="A91" s="75"/>
      <c r="B91" s="76"/>
      <c r="C91" s="77"/>
      <c r="D91" s="78"/>
      <c r="E91" s="79"/>
      <c r="F91" s="78"/>
      <c r="G91" s="80">
        <v>403497</v>
      </c>
      <c r="H91" s="80">
        <v>13487</v>
      </c>
      <c r="I91" s="81">
        <f t="shared" ref="I91" si="54">G91*F90</f>
        <v>23725.623599999999</v>
      </c>
      <c r="J91" s="81">
        <f t="shared" ref="J91" si="55">H91*F90</f>
        <v>793.03559999999993</v>
      </c>
      <c r="K91" s="81"/>
      <c r="L91" s="81"/>
      <c r="M91" s="81"/>
    </row>
    <row r="92" spans="1:13" s="43" customFormat="1" ht="21" hidden="1" outlineLevel="1">
      <c r="A92" s="82" t="s">
        <v>218</v>
      </c>
      <c r="B92" s="83" t="s">
        <v>140</v>
      </c>
      <c r="C92" s="84" t="s">
        <v>141</v>
      </c>
      <c r="D92" s="83" t="s">
        <v>142</v>
      </c>
      <c r="E92" s="85">
        <v>74.555999999999997</v>
      </c>
      <c r="F92" s="85">
        <v>4.3838929999999996</v>
      </c>
      <c r="G92" s="86">
        <v>5412</v>
      </c>
      <c r="H92" s="87"/>
      <c r="I92" s="88">
        <v>23726</v>
      </c>
      <c r="J92" s="88"/>
      <c r="K92" s="88"/>
      <c r="L92" s="89"/>
      <c r="M92" s="89"/>
    </row>
    <row r="93" spans="1:13" s="43" customFormat="1" hidden="1" outlineLevel="1">
      <c r="A93" s="82" t="s">
        <v>219</v>
      </c>
      <c r="B93" s="83" t="s">
        <v>34</v>
      </c>
      <c r="C93" s="84" t="s">
        <v>144</v>
      </c>
      <c r="D93" s="83" t="s">
        <v>142</v>
      </c>
      <c r="E93" s="85">
        <v>4.08</v>
      </c>
      <c r="F93" s="85">
        <v>0.2399</v>
      </c>
      <c r="G93" s="89"/>
      <c r="H93" s="87"/>
      <c r="I93" s="88"/>
      <c r="J93" s="88"/>
      <c r="K93" s="88"/>
      <c r="L93" s="89"/>
      <c r="M93" s="89"/>
    </row>
    <row r="94" spans="1:13" s="43" customFormat="1" hidden="1" outlineLevel="1">
      <c r="A94" s="90" t="s">
        <v>220</v>
      </c>
      <c r="B94" s="91" t="s">
        <v>146</v>
      </c>
      <c r="C94" s="92" t="s">
        <v>147</v>
      </c>
      <c r="D94" s="91" t="s">
        <v>148</v>
      </c>
      <c r="E94" s="93">
        <v>17.134799999999998</v>
      </c>
      <c r="F94" s="93">
        <v>1.0075259999999999</v>
      </c>
      <c r="G94" s="94"/>
      <c r="H94" s="95">
        <v>230</v>
      </c>
      <c r="I94" s="96"/>
      <c r="J94" s="96">
        <v>232</v>
      </c>
      <c r="K94" s="96"/>
      <c r="L94" s="97"/>
      <c r="M94" s="97"/>
    </row>
    <row r="95" spans="1:13" s="43" customFormat="1" ht="21" hidden="1" outlineLevel="1">
      <c r="A95" s="90" t="s">
        <v>221</v>
      </c>
      <c r="B95" s="91" t="s">
        <v>150</v>
      </c>
      <c r="C95" s="92" t="s">
        <v>151</v>
      </c>
      <c r="D95" s="91" t="s">
        <v>148</v>
      </c>
      <c r="E95" s="93">
        <v>2.0404800000000001</v>
      </c>
      <c r="F95" s="93">
        <v>0.11998</v>
      </c>
      <c r="G95" s="94"/>
      <c r="H95" s="95">
        <v>12979</v>
      </c>
      <c r="I95" s="96"/>
      <c r="J95" s="96">
        <v>1557</v>
      </c>
      <c r="K95" s="96"/>
      <c r="L95" s="97"/>
      <c r="M95" s="97"/>
    </row>
    <row r="96" spans="1:13" s="43" customFormat="1" hidden="1" outlineLevel="2">
      <c r="A96" s="98" t="s">
        <v>221</v>
      </c>
      <c r="B96" s="99"/>
      <c r="C96" s="100" t="s">
        <v>152</v>
      </c>
      <c r="D96" s="101" t="s">
        <v>142</v>
      </c>
      <c r="E96" s="102">
        <v>2.0404800000000001</v>
      </c>
      <c r="F96" s="102">
        <v>0.11998</v>
      </c>
      <c r="G96" s="103"/>
      <c r="H96" s="102">
        <v>3888</v>
      </c>
      <c r="I96" s="104"/>
      <c r="J96" s="104">
        <v>466.48</v>
      </c>
      <c r="K96" s="96"/>
      <c r="L96" s="97"/>
      <c r="M96" s="97"/>
    </row>
    <row r="97" spans="1:13" s="43" customFormat="1" hidden="1" outlineLevel="1">
      <c r="A97" s="90" t="s">
        <v>222</v>
      </c>
      <c r="B97" s="91" t="s">
        <v>154</v>
      </c>
      <c r="C97" s="92" t="s">
        <v>155</v>
      </c>
      <c r="D97" s="91" t="s">
        <v>148</v>
      </c>
      <c r="E97" s="93">
        <v>2.0404800000000001</v>
      </c>
      <c r="F97" s="93">
        <v>0.11998</v>
      </c>
      <c r="G97" s="94"/>
      <c r="H97" s="95">
        <v>8363</v>
      </c>
      <c r="I97" s="96"/>
      <c r="J97" s="96">
        <v>1003</v>
      </c>
      <c r="K97" s="96"/>
      <c r="L97" s="97"/>
      <c r="M97" s="97"/>
    </row>
    <row r="98" spans="1:13" s="43" customFormat="1" hidden="1" outlineLevel="2">
      <c r="A98" s="98" t="s">
        <v>222</v>
      </c>
      <c r="B98" s="99"/>
      <c r="C98" s="100" t="s">
        <v>152</v>
      </c>
      <c r="D98" s="101" t="s">
        <v>142</v>
      </c>
      <c r="E98" s="102">
        <v>2.0404800000000001</v>
      </c>
      <c r="F98" s="102">
        <v>0.11998</v>
      </c>
      <c r="G98" s="103"/>
      <c r="H98" s="102">
        <v>2722</v>
      </c>
      <c r="I98" s="104"/>
      <c r="J98" s="104">
        <v>326.58999999999997</v>
      </c>
      <c r="K98" s="96"/>
      <c r="L98" s="97"/>
      <c r="M98" s="97"/>
    </row>
    <row r="99" spans="1:13" s="43" customFormat="1" hidden="1" outlineLevel="1">
      <c r="A99" s="105" t="s">
        <v>223</v>
      </c>
      <c r="B99" s="106" t="s">
        <v>157</v>
      </c>
      <c r="C99" s="107" t="s">
        <v>158</v>
      </c>
      <c r="D99" s="106" t="s">
        <v>137</v>
      </c>
      <c r="E99" s="108">
        <v>2.5400000000000002E-3</v>
      </c>
      <c r="F99" s="108">
        <v>1.4899999999999999E-4</v>
      </c>
      <c r="G99" s="109">
        <v>1510113</v>
      </c>
      <c r="H99" s="110"/>
      <c r="I99" s="111"/>
      <c r="J99" s="111"/>
      <c r="K99" s="111">
        <v>226</v>
      </c>
      <c r="L99" s="97"/>
      <c r="M99" s="97"/>
    </row>
    <row r="100" spans="1:13" s="43" customFormat="1" ht="21" hidden="1" outlineLevel="1">
      <c r="A100" s="105" t="s">
        <v>224</v>
      </c>
      <c r="B100" s="106" t="s">
        <v>160</v>
      </c>
      <c r="C100" s="107" t="s">
        <v>161</v>
      </c>
      <c r="D100" s="106" t="s">
        <v>162</v>
      </c>
      <c r="E100" s="108">
        <v>3.36</v>
      </c>
      <c r="F100" s="108">
        <v>0.19756799999999999</v>
      </c>
      <c r="G100" s="109">
        <v>1215</v>
      </c>
      <c r="H100" s="110"/>
      <c r="I100" s="111"/>
      <c r="J100" s="111"/>
      <c r="K100" s="111">
        <v>240</v>
      </c>
      <c r="L100" s="97"/>
      <c r="M100" s="97"/>
    </row>
    <row r="101" spans="1:13" s="74" customFormat="1" ht="36" collapsed="1">
      <c r="A101" s="65" t="s">
        <v>54</v>
      </c>
      <c r="B101" s="66" t="s">
        <v>225</v>
      </c>
      <c r="C101" s="67" t="s">
        <v>226</v>
      </c>
      <c r="D101" s="68" t="s">
        <v>191</v>
      </c>
      <c r="E101" s="69"/>
      <c r="F101" s="112">
        <v>1960</v>
      </c>
      <c r="G101" s="71">
        <v>311</v>
      </c>
      <c r="H101" s="113"/>
      <c r="I101" s="72">
        <f t="shared" ref="I101" si="56">G101*F101</f>
        <v>609560</v>
      </c>
      <c r="J101" s="72">
        <f t="shared" ref="J101" si="57">H101*F101</f>
        <v>0</v>
      </c>
      <c r="K101" s="72">
        <f t="shared" ref="K101" si="58">I101-I102-J101</f>
        <v>609560</v>
      </c>
      <c r="L101" s="72">
        <f t="shared" ref="L101" si="59">(I102+J102)*E101</f>
        <v>0</v>
      </c>
      <c r="M101" s="73">
        <f t="shared" ref="M101" si="60">I101+L101+L102</f>
        <v>609560</v>
      </c>
    </row>
    <row r="102" spans="1:13" s="74" customFormat="1">
      <c r="A102" s="75"/>
      <c r="B102" s="76"/>
      <c r="C102" s="77"/>
      <c r="D102" s="78"/>
      <c r="E102" s="79"/>
      <c r="F102" s="78"/>
      <c r="G102" s="114"/>
      <c r="H102" s="114"/>
      <c r="I102" s="81">
        <f t="shared" ref="I102" si="61">G102*F101</f>
        <v>0</v>
      </c>
      <c r="J102" s="81">
        <f t="shared" ref="J102" si="62">H102*F101</f>
        <v>0</v>
      </c>
      <c r="K102" s="81"/>
      <c r="L102" s="81"/>
      <c r="M102" s="81"/>
    </row>
    <row r="103" spans="1:13" s="74" customFormat="1" ht="48">
      <c r="A103" s="65" t="s">
        <v>56</v>
      </c>
      <c r="B103" s="66" t="s">
        <v>227</v>
      </c>
      <c r="C103" s="67" t="s">
        <v>228</v>
      </c>
      <c r="D103" s="68" t="s">
        <v>191</v>
      </c>
      <c r="E103" s="69"/>
      <c r="F103" s="112">
        <v>1522</v>
      </c>
      <c r="G103" s="71">
        <v>5</v>
      </c>
      <c r="H103" s="113"/>
      <c r="I103" s="72">
        <f t="shared" ref="I103:I105" si="63">G103*F103</f>
        <v>7610</v>
      </c>
      <c r="J103" s="72">
        <f t="shared" ref="J103:J105" si="64">H103*F103</f>
        <v>0</v>
      </c>
      <c r="K103" s="72">
        <f t="shared" ref="K103:K105" si="65">I103-I104-J103</f>
        <v>7610</v>
      </c>
      <c r="L103" s="72">
        <f t="shared" ref="L103:L105" si="66">(I104+J104)*E103</f>
        <v>0</v>
      </c>
      <c r="M103" s="73">
        <f t="shared" ref="M103:M105" si="67">I103+L103+L104</f>
        <v>7610</v>
      </c>
    </row>
    <row r="104" spans="1:13" s="74" customFormat="1">
      <c r="A104" s="75"/>
      <c r="B104" s="76"/>
      <c r="C104" s="77"/>
      <c r="D104" s="78"/>
      <c r="E104" s="79"/>
      <c r="F104" s="78"/>
      <c r="G104" s="114"/>
      <c r="H104" s="114"/>
      <c r="I104" s="81">
        <f t="shared" ref="I104:I106" si="68">G104*F103</f>
        <v>0</v>
      </c>
      <c r="J104" s="81">
        <f t="shared" ref="J104:J106" si="69">H104*F103</f>
        <v>0</v>
      </c>
      <c r="K104" s="81"/>
      <c r="L104" s="81"/>
      <c r="M104" s="81"/>
    </row>
    <row r="105" spans="1:13" s="74" customFormat="1" ht="24">
      <c r="A105" s="65" t="s">
        <v>58</v>
      </c>
      <c r="B105" s="66" t="s">
        <v>229</v>
      </c>
      <c r="C105" s="67" t="s">
        <v>230</v>
      </c>
      <c r="D105" s="68" t="s">
        <v>137</v>
      </c>
      <c r="E105" s="69"/>
      <c r="F105" s="70">
        <v>4.7211200000000002E-2</v>
      </c>
      <c r="G105" s="71">
        <v>351330</v>
      </c>
      <c r="H105" s="71">
        <v>61550</v>
      </c>
      <c r="I105" s="72">
        <f t="shared" si="63"/>
        <v>16586.710896000001</v>
      </c>
      <c r="J105" s="72">
        <f t="shared" si="64"/>
        <v>2905.8493600000002</v>
      </c>
      <c r="K105" s="72">
        <f t="shared" si="65"/>
        <v>563.41846079999959</v>
      </c>
      <c r="L105" s="72">
        <f t="shared" si="66"/>
        <v>0</v>
      </c>
      <c r="M105" s="73">
        <f t="shared" si="67"/>
        <v>16586.710896000001</v>
      </c>
    </row>
    <row r="106" spans="1:13" s="74" customFormat="1">
      <c r="A106" s="75"/>
      <c r="B106" s="76"/>
      <c r="C106" s="77"/>
      <c r="D106" s="78"/>
      <c r="E106" s="79"/>
      <c r="F106" s="78"/>
      <c r="G106" s="80">
        <v>277846</v>
      </c>
      <c r="H106" s="80">
        <v>17637</v>
      </c>
      <c r="I106" s="81">
        <f t="shared" si="68"/>
        <v>13117.443075200001</v>
      </c>
      <c r="J106" s="81">
        <f t="shared" si="69"/>
        <v>832.66393440000002</v>
      </c>
      <c r="K106" s="81"/>
      <c r="L106" s="81"/>
      <c r="M106" s="81"/>
    </row>
    <row r="107" spans="1:13" s="43" customFormat="1" ht="21" hidden="1" outlineLevel="1">
      <c r="A107" s="82" t="s">
        <v>231</v>
      </c>
      <c r="B107" s="83" t="s">
        <v>181</v>
      </c>
      <c r="C107" s="84" t="s">
        <v>182</v>
      </c>
      <c r="D107" s="83" t="s">
        <v>142</v>
      </c>
      <c r="E107" s="85">
        <v>49.704000000000001</v>
      </c>
      <c r="F107" s="85">
        <v>2.3465850000000001</v>
      </c>
      <c r="G107" s="86">
        <v>5590</v>
      </c>
      <c r="H107" s="87"/>
      <c r="I107" s="88">
        <v>13117</v>
      </c>
      <c r="J107" s="88"/>
      <c r="K107" s="88"/>
      <c r="L107" s="89"/>
      <c r="M107" s="89"/>
    </row>
    <row r="108" spans="1:13" s="43" customFormat="1" hidden="1" outlineLevel="1">
      <c r="A108" s="82" t="s">
        <v>232</v>
      </c>
      <c r="B108" s="83" t="s">
        <v>34</v>
      </c>
      <c r="C108" s="84" t="s">
        <v>144</v>
      </c>
      <c r="D108" s="83" t="s">
        <v>142</v>
      </c>
      <c r="E108" s="85">
        <v>5.3360000000000003</v>
      </c>
      <c r="F108" s="85">
        <v>0.25190000000000001</v>
      </c>
      <c r="G108" s="89"/>
      <c r="H108" s="87"/>
      <c r="I108" s="88"/>
      <c r="J108" s="88"/>
      <c r="K108" s="88"/>
      <c r="L108" s="89"/>
      <c r="M108" s="89"/>
    </row>
    <row r="109" spans="1:13" s="43" customFormat="1" hidden="1" outlineLevel="1">
      <c r="A109" s="90" t="s">
        <v>233</v>
      </c>
      <c r="B109" s="91" t="s">
        <v>146</v>
      </c>
      <c r="C109" s="92" t="s">
        <v>147</v>
      </c>
      <c r="D109" s="91" t="s">
        <v>148</v>
      </c>
      <c r="E109" s="93">
        <v>20.0124</v>
      </c>
      <c r="F109" s="93">
        <v>0.94480900000000001</v>
      </c>
      <c r="G109" s="94"/>
      <c r="H109" s="95">
        <v>230</v>
      </c>
      <c r="I109" s="96"/>
      <c r="J109" s="96">
        <v>217</v>
      </c>
      <c r="K109" s="96"/>
      <c r="L109" s="97"/>
      <c r="M109" s="97"/>
    </row>
    <row r="110" spans="1:13" s="43" customFormat="1" ht="21" hidden="1" outlineLevel="1">
      <c r="A110" s="90" t="s">
        <v>234</v>
      </c>
      <c r="B110" s="91" t="s">
        <v>150</v>
      </c>
      <c r="C110" s="92" t="s">
        <v>151</v>
      </c>
      <c r="D110" s="91" t="s">
        <v>148</v>
      </c>
      <c r="E110" s="93">
        <v>2.66832</v>
      </c>
      <c r="F110" s="93">
        <v>0.125975</v>
      </c>
      <c r="G110" s="94"/>
      <c r="H110" s="95">
        <v>12979</v>
      </c>
      <c r="I110" s="96"/>
      <c r="J110" s="96">
        <v>1635</v>
      </c>
      <c r="K110" s="96"/>
      <c r="L110" s="97"/>
      <c r="M110" s="97"/>
    </row>
    <row r="111" spans="1:13" s="43" customFormat="1" hidden="1" outlineLevel="2">
      <c r="A111" s="98" t="s">
        <v>234</v>
      </c>
      <c r="B111" s="99"/>
      <c r="C111" s="100" t="s">
        <v>152</v>
      </c>
      <c r="D111" s="101" t="s">
        <v>142</v>
      </c>
      <c r="E111" s="102">
        <v>2.66832</v>
      </c>
      <c r="F111" s="102">
        <v>0.125975</v>
      </c>
      <c r="G111" s="103"/>
      <c r="H111" s="102">
        <v>3888</v>
      </c>
      <c r="I111" s="104"/>
      <c r="J111" s="104">
        <v>489.79</v>
      </c>
      <c r="K111" s="96"/>
      <c r="L111" s="97"/>
      <c r="M111" s="97"/>
    </row>
    <row r="112" spans="1:13" s="43" customFormat="1" hidden="1" outlineLevel="1">
      <c r="A112" s="90" t="s">
        <v>235</v>
      </c>
      <c r="B112" s="91" t="s">
        <v>154</v>
      </c>
      <c r="C112" s="92" t="s">
        <v>155</v>
      </c>
      <c r="D112" s="91" t="s">
        <v>148</v>
      </c>
      <c r="E112" s="93">
        <v>2.66832</v>
      </c>
      <c r="F112" s="93">
        <v>0.125975</v>
      </c>
      <c r="G112" s="94"/>
      <c r="H112" s="95">
        <v>8363</v>
      </c>
      <c r="I112" s="96"/>
      <c r="J112" s="96">
        <v>1054</v>
      </c>
      <c r="K112" s="96"/>
      <c r="L112" s="97"/>
      <c r="M112" s="97"/>
    </row>
    <row r="113" spans="1:13" s="43" customFormat="1" hidden="1" outlineLevel="2">
      <c r="A113" s="98" t="s">
        <v>235</v>
      </c>
      <c r="B113" s="99"/>
      <c r="C113" s="100" t="s">
        <v>152</v>
      </c>
      <c r="D113" s="101" t="s">
        <v>142</v>
      </c>
      <c r="E113" s="102">
        <v>2.66832</v>
      </c>
      <c r="F113" s="102">
        <v>0.125975</v>
      </c>
      <c r="G113" s="103"/>
      <c r="H113" s="102">
        <v>2722</v>
      </c>
      <c r="I113" s="104"/>
      <c r="J113" s="104">
        <v>342.9</v>
      </c>
      <c r="K113" s="96"/>
      <c r="L113" s="97"/>
      <c r="M113" s="97"/>
    </row>
    <row r="114" spans="1:13" s="43" customFormat="1" hidden="1" outlineLevel="1">
      <c r="A114" s="105" t="s">
        <v>236</v>
      </c>
      <c r="B114" s="106" t="s">
        <v>237</v>
      </c>
      <c r="C114" s="107" t="s">
        <v>238</v>
      </c>
      <c r="D114" s="106" t="s">
        <v>137</v>
      </c>
      <c r="E114" s="108">
        <v>9.0000000000000006E-5</v>
      </c>
      <c r="F114" s="108">
        <v>3.9999999999999998E-6</v>
      </c>
      <c r="G114" s="109">
        <v>24399</v>
      </c>
      <c r="H114" s="110"/>
      <c r="I114" s="111"/>
      <c r="J114" s="111"/>
      <c r="K114" s="111">
        <v>0.1</v>
      </c>
      <c r="L114" s="97"/>
      <c r="M114" s="97"/>
    </row>
    <row r="115" spans="1:13" s="43" customFormat="1" hidden="1" outlineLevel="1">
      <c r="A115" s="105" t="s">
        <v>239</v>
      </c>
      <c r="B115" s="106" t="s">
        <v>187</v>
      </c>
      <c r="C115" s="107" t="s">
        <v>188</v>
      </c>
      <c r="D115" s="106" t="s">
        <v>162</v>
      </c>
      <c r="E115" s="108">
        <v>7.8</v>
      </c>
      <c r="F115" s="108">
        <v>0.36824699999999999</v>
      </c>
      <c r="G115" s="109">
        <v>1293</v>
      </c>
      <c r="H115" s="110"/>
      <c r="I115" s="111"/>
      <c r="J115" s="111"/>
      <c r="K115" s="111">
        <v>476</v>
      </c>
      <c r="L115" s="97"/>
      <c r="M115" s="97"/>
    </row>
    <row r="116" spans="1:13" s="43" customFormat="1" ht="21" hidden="1" outlineLevel="1">
      <c r="A116" s="105" t="s">
        <v>240</v>
      </c>
      <c r="B116" s="106" t="s">
        <v>160</v>
      </c>
      <c r="C116" s="107" t="s">
        <v>161</v>
      </c>
      <c r="D116" s="106" t="s">
        <v>162</v>
      </c>
      <c r="E116" s="108">
        <v>1.52</v>
      </c>
      <c r="F116" s="108">
        <v>7.1761000000000005E-2</v>
      </c>
      <c r="G116" s="109">
        <v>1215</v>
      </c>
      <c r="H116" s="110"/>
      <c r="I116" s="111"/>
      <c r="J116" s="111"/>
      <c r="K116" s="111">
        <v>87</v>
      </c>
      <c r="L116" s="97"/>
      <c r="M116" s="97"/>
    </row>
    <row r="117" spans="1:13" s="74" customFormat="1" ht="48" collapsed="1">
      <c r="A117" s="65" t="s">
        <v>60</v>
      </c>
      <c r="B117" s="66" t="s">
        <v>241</v>
      </c>
      <c r="C117" s="67" t="s">
        <v>242</v>
      </c>
      <c r="D117" s="68" t="s">
        <v>243</v>
      </c>
      <c r="E117" s="69"/>
      <c r="F117" s="112">
        <v>16</v>
      </c>
      <c r="G117" s="71">
        <v>10002</v>
      </c>
      <c r="H117" s="71">
        <v>3058</v>
      </c>
      <c r="I117" s="72">
        <f t="shared" ref="I117" si="70">G117*F117</f>
        <v>160032</v>
      </c>
      <c r="J117" s="72">
        <f t="shared" ref="J117" si="71">H117*F117</f>
        <v>48928</v>
      </c>
      <c r="K117" s="72">
        <f t="shared" ref="K117" si="72">I117-I118-J117</f>
        <v>0</v>
      </c>
      <c r="L117" s="72">
        <f t="shared" ref="L117" si="73">(I118+J118)*E117</f>
        <v>0</v>
      </c>
      <c r="M117" s="73">
        <f t="shared" ref="M117" si="74">I117+L117+L118</f>
        <v>160032</v>
      </c>
    </row>
    <row r="118" spans="1:13" s="74" customFormat="1">
      <c r="A118" s="75"/>
      <c r="B118" s="76"/>
      <c r="C118" s="77"/>
      <c r="D118" s="78"/>
      <c r="E118" s="79"/>
      <c r="F118" s="78"/>
      <c r="G118" s="80">
        <v>6944</v>
      </c>
      <c r="H118" s="80">
        <v>964</v>
      </c>
      <c r="I118" s="81">
        <f t="shared" ref="I118" si="75">G118*F117</f>
        <v>111104</v>
      </c>
      <c r="J118" s="81">
        <f t="shared" ref="J118" si="76">H118*F117</f>
        <v>15424</v>
      </c>
      <c r="K118" s="81"/>
      <c r="L118" s="81"/>
      <c r="M118" s="81"/>
    </row>
    <row r="119" spans="1:13" s="43" customFormat="1" ht="31.5" hidden="1" outlineLevel="1">
      <c r="A119" s="82" t="s">
        <v>244</v>
      </c>
      <c r="B119" s="83" t="s">
        <v>245</v>
      </c>
      <c r="C119" s="84" t="s">
        <v>246</v>
      </c>
      <c r="D119" s="83" t="s">
        <v>142</v>
      </c>
      <c r="E119" s="85">
        <v>1.2819</v>
      </c>
      <c r="F119" s="85">
        <v>20.510400000000001</v>
      </c>
      <c r="G119" s="86">
        <v>5417</v>
      </c>
      <c r="H119" s="87"/>
      <c r="I119" s="88">
        <v>111105</v>
      </c>
      <c r="J119" s="88"/>
      <c r="K119" s="88"/>
      <c r="L119" s="89"/>
      <c r="M119" s="89"/>
    </row>
    <row r="120" spans="1:13" s="43" customFormat="1" hidden="1" outlineLevel="1">
      <c r="A120" s="82" t="s">
        <v>247</v>
      </c>
      <c r="B120" s="83" t="s">
        <v>34</v>
      </c>
      <c r="C120" s="84" t="s">
        <v>144</v>
      </c>
      <c r="D120" s="83" t="s">
        <v>142</v>
      </c>
      <c r="E120" s="85">
        <v>0.35399999999999998</v>
      </c>
      <c r="F120" s="85">
        <v>5.6639999999999997</v>
      </c>
      <c r="G120" s="89"/>
      <c r="H120" s="87"/>
      <c r="I120" s="88"/>
      <c r="J120" s="88"/>
      <c r="K120" s="88"/>
      <c r="L120" s="89"/>
      <c r="M120" s="89"/>
    </row>
    <row r="121" spans="1:13" s="43" customFormat="1" ht="21.75" hidden="1" outlineLevel="1">
      <c r="A121" s="90" t="s">
        <v>248</v>
      </c>
      <c r="B121" s="91" t="s">
        <v>249</v>
      </c>
      <c r="C121" s="92" t="s">
        <v>250</v>
      </c>
      <c r="D121" s="91" t="s">
        <v>148</v>
      </c>
      <c r="E121" s="93">
        <v>0.35427799999999998</v>
      </c>
      <c r="F121" s="93">
        <v>5.6684539999999997</v>
      </c>
      <c r="G121" s="94"/>
      <c r="H121" s="95">
        <v>8456</v>
      </c>
      <c r="I121" s="96"/>
      <c r="J121" s="96">
        <v>47932</v>
      </c>
      <c r="K121" s="96"/>
      <c r="L121" s="97"/>
      <c r="M121" s="97"/>
    </row>
    <row r="122" spans="1:13" s="43" customFormat="1" hidden="1" outlineLevel="2">
      <c r="A122" s="98" t="s">
        <v>248</v>
      </c>
      <c r="B122" s="99"/>
      <c r="C122" s="100" t="s">
        <v>152</v>
      </c>
      <c r="D122" s="101" t="s">
        <v>142</v>
      </c>
      <c r="E122" s="102">
        <v>0.35427799999999998</v>
      </c>
      <c r="F122" s="102">
        <v>5.6684539999999997</v>
      </c>
      <c r="G122" s="103"/>
      <c r="H122" s="102">
        <v>2722</v>
      </c>
      <c r="I122" s="104"/>
      <c r="J122" s="104">
        <v>15429.53</v>
      </c>
      <c r="K122" s="96"/>
      <c r="L122" s="97"/>
      <c r="M122" s="97"/>
    </row>
    <row r="123" spans="1:13" s="43" customFormat="1" ht="21" hidden="1" outlineLevel="1">
      <c r="A123" s="90" t="s">
        <v>251</v>
      </c>
      <c r="B123" s="91" t="s">
        <v>252</v>
      </c>
      <c r="C123" s="92" t="s">
        <v>253</v>
      </c>
      <c r="D123" s="91" t="s">
        <v>148</v>
      </c>
      <c r="E123" s="93">
        <v>0.708422</v>
      </c>
      <c r="F123" s="93">
        <v>11.334758000000001</v>
      </c>
      <c r="G123" s="94"/>
      <c r="H123" s="95">
        <v>87</v>
      </c>
      <c r="I123" s="96"/>
      <c r="J123" s="96">
        <v>986</v>
      </c>
      <c r="K123" s="96"/>
      <c r="L123" s="97"/>
      <c r="M123" s="97"/>
    </row>
    <row r="124" spans="1:13" s="74" customFormat="1" ht="36" collapsed="1">
      <c r="A124" s="65" t="s">
        <v>62</v>
      </c>
      <c r="B124" s="66" t="s">
        <v>254</v>
      </c>
      <c r="C124" s="67" t="s">
        <v>255</v>
      </c>
      <c r="D124" s="68" t="s">
        <v>137</v>
      </c>
      <c r="E124" s="69"/>
      <c r="F124" s="70">
        <v>6.3103999999999993E-2</v>
      </c>
      <c r="G124" s="71">
        <v>292148</v>
      </c>
      <c r="H124" s="71">
        <v>4253</v>
      </c>
      <c r="I124" s="72">
        <f t="shared" ref="I124" si="77">G124*F124</f>
        <v>18435.707391999997</v>
      </c>
      <c r="J124" s="72">
        <f t="shared" ref="J124" si="78">H124*F124</f>
        <v>268.38131199999998</v>
      </c>
      <c r="K124" s="72">
        <f t="shared" ref="K124" si="79">I124-I125-J124</f>
        <v>88.408703999999034</v>
      </c>
      <c r="L124" s="72">
        <f t="shared" ref="L124" si="80">(I125+J125)*E124</f>
        <v>0</v>
      </c>
      <c r="M124" s="73">
        <f t="shared" ref="M124" si="81">I124+L124+L125</f>
        <v>18435.707391999997</v>
      </c>
    </row>
    <row r="125" spans="1:13" s="74" customFormat="1">
      <c r="A125" s="75"/>
      <c r="B125" s="76"/>
      <c r="C125" s="77"/>
      <c r="D125" s="78"/>
      <c r="E125" s="79"/>
      <c r="F125" s="78"/>
      <c r="G125" s="80">
        <v>286494</v>
      </c>
      <c r="H125" s="80">
        <v>1488</v>
      </c>
      <c r="I125" s="81">
        <f t="shared" ref="I125" si="82">G125*F124</f>
        <v>18078.917375999998</v>
      </c>
      <c r="J125" s="81">
        <f t="shared" ref="J125" si="83">H125*F124</f>
        <v>93.898751999999988</v>
      </c>
      <c r="K125" s="81"/>
      <c r="L125" s="81"/>
      <c r="M125" s="81"/>
    </row>
    <row r="126" spans="1:13" s="43" customFormat="1" ht="21" hidden="1" outlineLevel="1">
      <c r="A126" s="82" t="s">
        <v>256</v>
      </c>
      <c r="B126" s="83" t="s">
        <v>257</v>
      </c>
      <c r="C126" s="84" t="s">
        <v>258</v>
      </c>
      <c r="D126" s="83" t="s">
        <v>142</v>
      </c>
      <c r="E126" s="85">
        <v>57.552</v>
      </c>
      <c r="F126" s="85">
        <v>3.631761</v>
      </c>
      <c r="G126" s="86">
        <v>4978</v>
      </c>
      <c r="H126" s="87"/>
      <c r="I126" s="88">
        <v>18079</v>
      </c>
      <c r="J126" s="88"/>
      <c r="K126" s="88"/>
      <c r="L126" s="89"/>
      <c r="M126" s="89"/>
    </row>
    <row r="127" spans="1:13" s="43" customFormat="1" hidden="1" outlineLevel="1">
      <c r="A127" s="82" t="s">
        <v>259</v>
      </c>
      <c r="B127" s="83" t="s">
        <v>34</v>
      </c>
      <c r="C127" s="84" t="s">
        <v>144</v>
      </c>
      <c r="D127" s="83" t="s">
        <v>142</v>
      </c>
      <c r="E127" s="85">
        <v>0.628</v>
      </c>
      <c r="F127" s="85">
        <v>3.9600000000000003E-2</v>
      </c>
      <c r="G127" s="89"/>
      <c r="H127" s="87"/>
      <c r="I127" s="88"/>
      <c r="J127" s="88"/>
      <c r="K127" s="88"/>
      <c r="L127" s="89"/>
      <c r="M127" s="89"/>
    </row>
    <row r="128" spans="1:13" s="43" customFormat="1" hidden="1" outlineLevel="1">
      <c r="A128" s="90" t="s">
        <v>260</v>
      </c>
      <c r="B128" s="91" t="s">
        <v>261</v>
      </c>
      <c r="C128" s="92" t="s">
        <v>262</v>
      </c>
      <c r="D128" s="91" t="s">
        <v>148</v>
      </c>
      <c r="E128" s="93">
        <v>0.49703999999999998</v>
      </c>
      <c r="F128" s="93">
        <v>3.1364999999999997E-2</v>
      </c>
      <c r="G128" s="94"/>
      <c r="H128" s="95">
        <v>6096</v>
      </c>
      <c r="I128" s="96"/>
      <c r="J128" s="96">
        <v>191</v>
      </c>
      <c r="K128" s="96"/>
      <c r="L128" s="97"/>
      <c r="M128" s="97"/>
    </row>
    <row r="129" spans="1:13" s="43" customFormat="1" hidden="1" outlineLevel="2">
      <c r="A129" s="98" t="s">
        <v>260</v>
      </c>
      <c r="B129" s="99"/>
      <c r="C129" s="100" t="s">
        <v>152</v>
      </c>
      <c r="D129" s="101" t="s">
        <v>142</v>
      </c>
      <c r="E129" s="102">
        <v>0.49703999999999998</v>
      </c>
      <c r="F129" s="102">
        <v>3.1364999999999997E-2</v>
      </c>
      <c r="G129" s="103"/>
      <c r="H129" s="102">
        <v>2278</v>
      </c>
      <c r="I129" s="104"/>
      <c r="J129" s="104">
        <v>71.45</v>
      </c>
      <c r="K129" s="96"/>
      <c r="L129" s="97"/>
      <c r="M129" s="97"/>
    </row>
    <row r="130" spans="1:13" s="43" customFormat="1" hidden="1" outlineLevel="1">
      <c r="A130" s="90" t="s">
        <v>263</v>
      </c>
      <c r="B130" s="91" t="s">
        <v>146</v>
      </c>
      <c r="C130" s="92" t="s">
        <v>147</v>
      </c>
      <c r="D130" s="91" t="s">
        <v>148</v>
      </c>
      <c r="E130" s="93">
        <v>0.56244000000000005</v>
      </c>
      <c r="F130" s="93">
        <v>3.5492000000000003E-2</v>
      </c>
      <c r="G130" s="94"/>
      <c r="H130" s="95">
        <v>230</v>
      </c>
      <c r="I130" s="96"/>
      <c r="J130" s="96">
        <v>8</v>
      </c>
      <c r="K130" s="96"/>
      <c r="L130" s="97"/>
      <c r="M130" s="97"/>
    </row>
    <row r="131" spans="1:13" s="43" customFormat="1" hidden="1" outlineLevel="1">
      <c r="A131" s="90" t="s">
        <v>264</v>
      </c>
      <c r="B131" s="91" t="s">
        <v>154</v>
      </c>
      <c r="C131" s="92" t="s">
        <v>155</v>
      </c>
      <c r="D131" s="91" t="s">
        <v>148</v>
      </c>
      <c r="E131" s="93">
        <v>0.1308</v>
      </c>
      <c r="F131" s="93">
        <v>8.2539999999999992E-3</v>
      </c>
      <c r="G131" s="94"/>
      <c r="H131" s="95">
        <v>8363</v>
      </c>
      <c r="I131" s="96"/>
      <c r="J131" s="96">
        <v>69</v>
      </c>
      <c r="K131" s="96"/>
      <c r="L131" s="97"/>
      <c r="M131" s="97"/>
    </row>
    <row r="132" spans="1:13" s="43" customFormat="1" hidden="1" outlineLevel="2">
      <c r="A132" s="98" t="s">
        <v>264</v>
      </c>
      <c r="B132" s="99"/>
      <c r="C132" s="100" t="s">
        <v>152</v>
      </c>
      <c r="D132" s="101" t="s">
        <v>142</v>
      </c>
      <c r="E132" s="102">
        <v>0.1308</v>
      </c>
      <c r="F132" s="102">
        <v>8.2539999999999992E-3</v>
      </c>
      <c r="G132" s="103"/>
      <c r="H132" s="102">
        <v>2722</v>
      </c>
      <c r="I132" s="104"/>
      <c r="J132" s="104">
        <v>22.47</v>
      </c>
      <c r="K132" s="96"/>
      <c r="L132" s="97"/>
      <c r="M132" s="97"/>
    </row>
    <row r="133" spans="1:13" s="43" customFormat="1" hidden="1" outlineLevel="1">
      <c r="A133" s="105" t="s">
        <v>265</v>
      </c>
      <c r="B133" s="106" t="s">
        <v>266</v>
      </c>
      <c r="C133" s="107" t="s">
        <v>267</v>
      </c>
      <c r="D133" s="106" t="s">
        <v>137</v>
      </c>
      <c r="E133" s="108">
        <v>5.1000000000000004E-3</v>
      </c>
      <c r="F133" s="108">
        <v>3.2200000000000002E-4</v>
      </c>
      <c r="G133" s="109">
        <v>274757</v>
      </c>
      <c r="H133" s="110"/>
      <c r="I133" s="111"/>
      <c r="J133" s="111"/>
      <c r="K133" s="111">
        <v>88</v>
      </c>
      <c r="L133" s="97"/>
      <c r="M133" s="97"/>
    </row>
    <row r="134" spans="1:13" s="74" customFormat="1" ht="48" collapsed="1">
      <c r="A134" s="65" t="s">
        <v>64</v>
      </c>
      <c r="B134" s="66" t="s">
        <v>268</v>
      </c>
      <c r="C134" s="67" t="s">
        <v>269</v>
      </c>
      <c r="D134" s="68" t="s">
        <v>137</v>
      </c>
      <c r="E134" s="69"/>
      <c r="F134" s="70">
        <v>7.8880000000000006E-2</v>
      </c>
      <c r="G134" s="71">
        <v>462591</v>
      </c>
      <c r="H134" s="113"/>
      <c r="I134" s="72">
        <f t="shared" ref="I134:I136" si="84">G134*F134</f>
        <v>36489.178080000005</v>
      </c>
      <c r="J134" s="72">
        <f t="shared" ref="J134:J136" si="85">H134*F134</f>
        <v>0</v>
      </c>
      <c r="K134" s="72">
        <f t="shared" ref="K134:K136" si="86">I134-I135-J134</f>
        <v>36489.178080000005</v>
      </c>
      <c r="L134" s="72">
        <f t="shared" ref="L134:L136" si="87">(I135+J135)*E134</f>
        <v>0</v>
      </c>
      <c r="M134" s="73">
        <f t="shared" ref="M134:M136" si="88">I134+L134+L135</f>
        <v>36489.178080000005</v>
      </c>
    </row>
    <row r="135" spans="1:13" s="74" customFormat="1">
      <c r="A135" s="75"/>
      <c r="B135" s="76"/>
      <c r="C135" s="77"/>
      <c r="D135" s="78"/>
      <c r="E135" s="79"/>
      <c r="F135" s="78"/>
      <c r="G135" s="114"/>
      <c r="H135" s="114"/>
      <c r="I135" s="81">
        <f t="shared" ref="I135:I137" si="89">G135*F134</f>
        <v>0</v>
      </c>
      <c r="J135" s="81">
        <f t="shared" ref="J135:J137" si="90">H135*F134</f>
        <v>0</v>
      </c>
      <c r="K135" s="81"/>
      <c r="L135" s="81"/>
      <c r="M135" s="81"/>
    </row>
    <row r="136" spans="1:13" s="74" customFormat="1" ht="48">
      <c r="A136" s="65" t="s">
        <v>66</v>
      </c>
      <c r="B136" s="66" t="s">
        <v>270</v>
      </c>
      <c r="C136" s="67" t="s">
        <v>271</v>
      </c>
      <c r="D136" s="68" t="s">
        <v>137</v>
      </c>
      <c r="E136" s="69"/>
      <c r="F136" s="70">
        <v>3.1435200000000003E-2</v>
      </c>
      <c r="G136" s="71">
        <v>335553</v>
      </c>
      <c r="H136" s="113"/>
      <c r="I136" s="72">
        <f t="shared" si="84"/>
        <v>10548.175665600002</v>
      </c>
      <c r="J136" s="72">
        <f t="shared" si="85"/>
        <v>0</v>
      </c>
      <c r="K136" s="72">
        <f t="shared" si="86"/>
        <v>10548.175665600002</v>
      </c>
      <c r="L136" s="72">
        <f t="shared" si="87"/>
        <v>0</v>
      </c>
      <c r="M136" s="73">
        <f t="shared" si="88"/>
        <v>10548.175665600002</v>
      </c>
    </row>
    <row r="137" spans="1:13" s="74" customFormat="1">
      <c r="A137" s="75"/>
      <c r="B137" s="76"/>
      <c r="C137" s="77"/>
      <c r="D137" s="78"/>
      <c r="E137" s="79"/>
      <c r="F137" s="78"/>
      <c r="G137" s="114"/>
      <c r="H137" s="114"/>
      <c r="I137" s="81">
        <f t="shared" si="89"/>
        <v>0</v>
      </c>
      <c r="J137" s="81">
        <f t="shared" si="90"/>
        <v>0</v>
      </c>
      <c r="K137" s="81"/>
      <c r="L137" s="81"/>
      <c r="M137" s="81"/>
    </row>
    <row r="138" spans="1:13" s="74" customFormat="1" ht="36">
      <c r="A138" s="65" t="s">
        <v>68</v>
      </c>
      <c r="B138" s="66" t="s">
        <v>272</v>
      </c>
      <c r="C138" s="67" t="s">
        <v>273</v>
      </c>
      <c r="D138" s="68" t="s">
        <v>274</v>
      </c>
      <c r="E138" s="69"/>
      <c r="F138" s="112">
        <v>16</v>
      </c>
      <c r="G138" s="71">
        <v>2145</v>
      </c>
      <c r="H138" s="71">
        <v>561</v>
      </c>
      <c r="I138" s="72">
        <f t="shared" ref="I138" si="91">G138*F138</f>
        <v>34320</v>
      </c>
      <c r="J138" s="72">
        <f t="shared" ref="J138" si="92">H138*F138</f>
        <v>8976</v>
      </c>
      <c r="K138" s="72">
        <f t="shared" ref="K138" si="93">I138-I139-J138</f>
        <v>416</v>
      </c>
      <c r="L138" s="72">
        <f t="shared" ref="L138" si="94">(I139+J139)*E138</f>
        <v>0</v>
      </c>
      <c r="M138" s="73">
        <f t="shared" ref="M138" si="95">I138+L138+L139</f>
        <v>34320</v>
      </c>
    </row>
    <row r="139" spans="1:13" s="74" customFormat="1">
      <c r="A139" s="75"/>
      <c r="B139" s="76"/>
      <c r="C139" s="77"/>
      <c r="D139" s="78"/>
      <c r="E139" s="79"/>
      <c r="F139" s="78"/>
      <c r="G139" s="80">
        <v>1558</v>
      </c>
      <c r="H139" s="80">
        <v>174</v>
      </c>
      <c r="I139" s="81">
        <f t="shared" ref="I139" si="96">G139*F138</f>
        <v>24928</v>
      </c>
      <c r="J139" s="81">
        <f t="shared" ref="J139" si="97">H139*F138</f>
        <v>2784</v>
      </c>
      <c r="K139" s="81"/>
      <c r="L139" s="81"/>
      <c r="M139" s="81"/>
    </row>
    <row r="140" spans="1:13" s="43" customFormat="1" ht="21" hidden="1" outlineLevel="1">
      <c r="A140" s="82" t="s">
        <v>275</v>
      </c>
      <c r="B140" s="83" t="s">
        <v>140</v>
      </c>
      <c r="C140" s="84" t="s">
        <v>141</v>
      </c>
      <c r="D140" s="83" t="s">
        <v>142</v>
      </c>
      <c r="E140" s="85">
        <v>0.2878</v>
      </c>
      <c r="F140" s="85">
        <v>4.6048</v>
      </c>
      <c r="G140" s="86">
        <v>5412</v>
      </c>
      <c r="H140" s="87"/>
      <c r="I140" s="88">
        <v>24921</v>
      </c>
      <c r="J140" s="88"/>
      <c r="K140" s="88"/>
      <c r="L140" s="89"/>
      <c r="M140" s="89"/>
    </row>
    <row r="141" spans="1:13" s="43" customFormat="1" hidden="1" outlineLevel="1">
      <c r="A141" s="82" t="s">
        <v>276</v>
      </c>
      <c r="B141" s="83" t="s">
        <v>34</v>
      </c>
      <c r="C141" s="84" t="s">
        <v>144</v>
      </c>
      <c r="D141" s="83" t="s">
        <v>142</v>
      </c>
      <c r="E141" s="85">
        <v>5.1999999999999998E-2</v>
      </c>
      <c r="F141" s="85">
        <v>0.83199999999999996</v>
      </c>
      <c r="G141" s="89"/>
      <c r="H141" s="87"/>
      <c r="I141" s="88"/>
      <c r="J141" s="88"/>
      <c r="K141" s="88"/>
      <c r="L141" s="89"/>
      <c r="M141" s="89"/>
    </row>
    <row r="142" spans="1:13" s="43" customFormat="1" ht="21" hidden="1" outlineLevel="1">
      <c r="A142" s="90" t="s">
        <v>277</v>
      </c>
      <c r="B142" s="91" t="s">
        <v>150</v>
      </c>
      <c r="C142" s="92" t="s">
        <v>151</v>
      </c>
      <c r="D142" s="91" t="s">
        <v>148</v>
      </c>
      <c r="E142" s="93">
        <v>2.6290999999999998E-2</v>
      </c>
      <c r="F142" s="93">
        <v>0.420653</v>
      </c>
      <c r="G142" s="94"/>
      <c r="H142" s="95">
        <v>12979</v>
      </c>
      <c r="I142" s="96"/>
      <c r="J142" s="96">
        <v>5460</v>
      </c>
      <c r="K142" s="96"/>
      <c r="L142" s="97"/>
      <c r="M142" s="97"/>
    </row>
    <row r="143" spans="1:13" s="43" customFormat="1" hidden="1" outlineLevel="2">
      <c r="A143" s="98" t="s">
        <v>277</v>
      </c>
      <c r="B143" s="99"/>
      <c r="C143" s="100" t="s">
        <v>152</v>
      </c>
      <c r="D143" s="101" t="s">
        <v>142</v>
      </c>
      <c r="E143" s="102">
        <v>2.6290999999999998E-2</v>
      </c>
      <c r="F143" s="102">
        <v>0.420653</v>
      </c>
      <c r="G143" s="103"/>
      <c r="H143" s="102">
        <v>3888</v>
      </c>
      <c r="I143" s="104"/>
      <c r="J143" s="104">
        <v>1635.5</v>
      </c>
      <c r="K143" s="96"/>
      <c r="L143" s="97"/>
      <c r="M143" s="97"/>
    </row>
    <row r="144" spans="1:13" s="43" customFormat="1" hidden="1" outlineLevel="1">
      <c r="A144" s="90" t="s">
        <v>278</v>
      </c>
      <c r="B144" s="91" t="s">
        <v>154</v>
      </c>
      <c r="C144" s="92" t="s">
        <v>155</v>
      </c>
      <c r="D144" s="91" t="s">
        <v>148</v>
      </c>
      <c r="E144" s="93">
        <v>2.6290999999999998E-2</v>
      </c>
      <c r="F144" s="93">
        <v>0.420653</v>
      </c>
      <c r="G144" s="94"/>
      <c r="H144" s="95">
        <v>8363</v>
      </c>
      <c r="I144" s="96"/>
      <c r="J144" s="96">
        <v>3518</v>
      </c>
      <c r="K144" s="96"/>
      <c r="L144" s="97"/>
      <c r="M144" s="97"/>
    </row>
    <row r="145" spans="1:13" s="43" customFormat="1" hidden="1" outlineLevel="2">
      <c r="A145" s="98" t="s">
        <v>278</v>
      </c>
      <c r="B145" s="99"/>
      <c r="C145" s="100" t="s">
        <v>152</v>
      </c>
      <c r="D145" s="101" t="s">
        <v>142</v>
      </c>
      <c r="E145" s="102">
        <v>2.6290999999999998E-2</v>
      </c>
      <c r="F145" s="102">
        <v>0.420653</v>
      </c>
      <c r="G145" s="103"/>
      <c r="H145" s="102">
        <v>2722</v>
      </c>
      <c r="I145" s="104"/>
      <c r="J145" s="104">
        <v>1145.02</v>
      </c>
      <c r="K145" s="96"/>
      <c r="L145" s="97"/>
      <c r="M145" s="97"/>
    </row>
    <row r="146" spans="1:13" s="43" customFormat="1" hidden="1" outlineLevel="1">
      <c r="A146" s="105" t="s">
        <v>279</v>
      </c>
      <c r="B146" s="106" t="s">
        <v>280</v>
      </c>
      <c r="C146" s="107" t="s">
        <v>281</v>
      </c>
      <c r="D146" s="106" t="s">
        <v>162</v>
      </c>
      <c r="E146" s="108">
        <v>0.19800000000000001</v>
      </c>
      <c r="F146" s="108">
        <v>3.1680000000000001</v>
      </c>
      <c r="G146" s="109">
        <v>129</v>
      </c>
      <c r="H146" s="110"/>
      <c r="I146" s="111"/>
      <c r="J146" s="111"/>
      <c r="K146" s="111">
        <v>409</v>
      </c>
      <c r="L146" s="97"/>
      <c r="M146" s="97"/>
    </row>
    <row r="147" spans="1:13" s="74" customFormat="1" ht="36" collapsed="1">
      <c r="A147" s="65" t="s">
        <v>70</v>
      </c>
      <c r="B147" s="66" t="s">
        <v>282</v>
      </c>
      <c r="C147" s="67" t="s">
        <v>283</v>
      </c>
      <c r="D147" s="68" t="s">
        <v>179</v>
      </c>
      <c r="E147" s="69"/>
      <c r="F147" s="112">
        <v>32</v>
      </c>
      <c r="G147" s="115">
        <v>43467.48</v>
      </c>
      <c r="H147" s="113"/>
      <c r="I147" s="72">
        <f t="shared" ref="I147" si="98">G147*F147</f>
        <v>1390959.36</v>
      </c>
      <c r="J147" s="72">
        <f t="shared" ref="J147" si="99">H147*F147</f>
        <v>0</v>
      </c>
      <c r="K147" s="72">
        <f t="shared" ref="K147" si="100">I147-I148-J147</f>
        <v>1390959.36</v>
      </c>
      <c r="L147" s="72">
        <f t="shared" ref="L147" si="101">(I148+J148)*E147</f>
        <v>0</v>
      </c>
      <c r="M147" s="73">
        <f t="shared" ref="M147" si="102">I147+L147+L148</f>
        <v>1390959.36</v>
      </c>
    </row>
    <row r="148" spans="1:13" s="74" customFormat="1">
      <c r="A148" s="75"/>
      <c r="B148" s="76"/>
      <c r="C148" s="77"/>
      <c r="D148" s="78"/>
      <c r="E148" s="79"/>
      <c r="F148" s="78"/>
      <c r="G148" s="114"/>
      <c r="H148" s="114"/>
      <c r="I148" s="81">
        <f t="shared" ref="I148" si="103">G148*F147</f>
        <v>0</v>
      </c>
      <c r="J148" s="81">
        <f t="shared" ref="J148" si="104">H148*F147</f>
        <v>0</v>
      </c>
      <c r="K148" s="81"/>
      <c r="L148" s="81"/>
      <c r="M148" s="81"/>
    </row>
    <row r="149" spans="1:13" s="74" customFormat="1" ht="36">
      <c r="A149" s="65" t="s">
        <v>72</v>
      </c>
      <c r="B149" s="66" t="s">
        <v>284</v>
      </c>
      <c r="C149" s="67" t="s">
        <v>285</v>
      </c>
      <c r="D149" s="68" t="s">
        <v>165</v>
      </c>
      <c r="E149" s="69"/>
      <c r="F149" s="70">
        <v>27.2</v>
      </c>
      <c r="G149" s="71">
        <v>1799</v>
      </c>
      <c r="H149" s="71">
        <v>581</v>
      </c>
      <c r="I149" s="72">
        <f t="shared" ref="I149:I161" si="105">G149*F149</f>
        <v>48932.799999999996</v>
      </c>
      <c r="J149" s="72">
        <f t="shared" ref="J149:J161" si="106">H149*F149</f>
        <v>15803.199999999999</v>
      </c>
      <c r="K149" s="72">
        <f t="shared" ref="K149:K161" si="107">I149-I150-J149</f>
        <v>3372.7999999999975</v>
      </c>
      <c r="L149" s="72">
        <f t="shared" ref="L149:L161" si="108">(I150+J150)*E149</f>
        <v>0</v>
      </c>
      <c r="M149" s="73">
        <f t="shared" ref="M149:M161" si="109">I149+L149+L150</f>
        <v>48932.799999999996</v>
      </c>
    </row>
    <row r="150" spans="1:13" s="74" customFormat="1">
      <c r="A150" s="75"/>
      <c r="B150" s="76"/>
      <c r="C150" s="77"/>
      <c r="D150" s="78"/>
      <c r="E150" s="79"/>
      <c r="F150" s="78"/>
      <c r="G150" s="80">
        <v>1094</v>
      </c>
      <c r="H150" s="80">
        <v>138</v>
      </c>
      <c r="I150" s="81">
        <f t="shared" ref="I150:I162" si="110">G150*F149</f>
        <v>29756.799999999999</v>
      </c>
      <c r="J150" s="81">
        <f t="shared" ref="J150:J162" si="111">H150*F149</f>
        <v>3753.6</v>
      </c>
      <c r="K150" s="81"/>
      <c r="L150" s="81"/>
      <c r="M150" s="81"/>
    </row>
    <row r="151" spans="1:13" s="43" customFormat="1" ht="21" hidden="1" outlineLevel="1">
      <c r="A151" s="82" t="s">
        <v>286</v>
      </c>
      <c r="B151" s="83" t="s">
        <v>287</v>
      </c>
      <c r="C151" s="84" t="s">
        <v>288</v>
      </c>
      <c r="D151" s="83" t="s">
        <v>142</v>
      </c>
      <c r="E151" s="85">
        <v>0.2177</v>
      </c>
      <c r="F151" s="85">
        <v>5.9214399999999996</v>
      </c>
      <c r="G151" s="86">
        <v>5026</v>
      </c>
      <c r="H151" s="87"/>
      <c r="I151" s="88">
        <f t="shared" si="105"/>
        <v>29761.157439999999</v>
      </c>
      <c r="J151" s="88">
        <f t="shared" si="106"/>
        <v>0</v>
      </c>
      <c r="K151" s="88">
        <f t="shared" si="107"/>
        <v>29761.157439999999</v>
      </c>
      <c r="L151" s="89">
        <f t="shared" si="108"/>
        <v>0</v>
      </c>
      <c r="M151" s="89">
        <f t="shared" si="109"/>
        <v>29761.157439999999</v>
      </c>
    </row>
    <row r="152" spans="1:13" s="43" customFormat="1" hidden="1" outlineLevel="1">
      <c r="A152" s="82" t="s">
        <v>289</v>
      </c>
      <c r="B152" s="83" t="s">
        <v>34</v>
      </c>
      <c r="C152" s="84" t="s">
        <v>144</v>
      </c>
      <c r="D152" s="83" t="s">
        <v>142</v>
      </c>
      <c r="E152" s="85">
        <v>0.05</v>
      </c>
      <c r="F152" s="85">
        <v>1.36</v>
      </c>
      <c r="G152" s="89"/>
      <c r="H152" s="87"/>
      <c r="I152" s="88">
        <f t="shared" si="110"/>
        <v>0</v>
      </c>
      <c r="J152" s="88">
        <f t="shared" si="111"/>
        <v>0</v>
      </c>
      <c r="K152" s="88"/>
      <c r="L152" s="89"/>
      <c r="M152" s="89"/>
    </row>
    <row r="153" spans="1:13" s="43" customFormat="1" hidden="1" outlineLevel="1">
      <c r="A153" s="90" t="s">
        <v>290</v>
      </c>
      <c r="B153" s="91" t="s">
        <v>291</v>
      </c>
      <c r="C153" s="92" t="s">
        <v>292</v>
      </c>
      <c r="D153" s="91" t="s">
        <v>148</v>
      </c>
      <c r="E153" s="93">
        <v>4.93248</v>
      </c>
      <c r="F153" s="93">
        <v>134.163456</v>
      </c>
      <c r="G153" s="94"/>
      <c r="H153" s="95">
        <v>31</v>
      </c>
      <c r="I153" s="96">
        <f t="shared" si="105"/>
        <v>0</v>
      </c>
      <c r="J153" s="96">
        <f t="shared" si="106"/>
        <v>4159.0671359999997</v>
      </c>
      <c r="K153" s="96">
        <f t="shared" si="107"/>
        <v>-4159.0671359999997</v>
      </c>
      <c r="L153" s="97">
        <f t="shared" si="108"/>
        <v>5595830.4125406407</v>
      </c>
      <c r="M153" s="97">
        <f t="shared" si="109"/>
        <v>5595830.4125406407</v>
      </c>
    </row>
    <row r="154" spans="1:13" s="43" customFormat="1" ht="21.75" hidden="1" outlineLevel="1">
      <c r="A154" s="90" t="s">
        <v>293</v>
      </c>
      <c r="B154" s="91" t="s">
        <v>249</v>
      </c>
      <c r="C154" s="92" t="s">
        <v>250</v>
      </c>
      <c r="D154" s="91" t="s">
        <v>148</v>
      </c>
      <c r="E154" s="93">
        <v>4.9325000000000001E-2</v>
      </c>
      <c r="F154" s="93">
        <v>1.3416349999999999</v>
      </c>
      <c r="G154" s="94"/>
      <c r="H154" s="95">
        <v>8456</v>
      </c>
      <c r="I154" s="96">
        <f t="shared" si="110"/>
        <v>0</v>
      </c>
      <c r="J154" s="96">
        <f t="shared" si="111"/>
        <v>1134486.1839359999</v>
      </c>
      <c r="K154" s="96"/>
      <c r="L154" s="97"/>
      <c r="M154" s="97"/>
    </row>
    <row r="155" spans="1:13" s="43" customFormat="1" hidden="1" outlineLevel="2">
      <c r="A155" s="98" t="s">
        <v>293</v>
      </c>
      <c r="B155" s="99"/>
      <c r="C155" s="100" t="s">
        <v>152</v>
      </c>
      <c r="D155" s="101" t="s">
        <v>142</v>
      </c>
      <c r="E155" s="102">
        <v>4.9325000000000001E-2</v>
      </c>
      <c r="F155" s="102">
        <v>1.3416349999999999</v>
      </c>
      <c r="G155" s="103"/>
      <c r="H155" s="102">
        <v>2722</v>
      </c>
      <c r="I155" s="104">
        <f t="shared" si="105"/>
        <v>0</v>
      </c>
      <c r="J155" s="104">
        <f t="shared" si="106"/>
        <v>3651.9304699999998</v>
      </c>
      <c r="K155" s="96">
        <f t="shared" si="107"/>
        <v>-3651.9304699999998</v>
      </c>
      <c r="L155" s="97">
        <f t="shared" si="108"/>
        <v>553.43111213412499</v>
      </c>
      <c r="M155" s="97">
        <f t="shared" si="109"/>
        <v>553.43111213412499</v>
      </c>
    </row>
    <row r="156" spans="1:13" s="43" customFormat="1" hidden="1" outlineLevel="1">
      <c r="A156" s="90" t="s">
        <v>294</v>
      </c>
      <c r="B156" s="91" t="s">
        <v>154</v>
      </c>
      <c r="C156" s="92" t="s">
        <v>155</v>
      </c>
      <c r="D156" s="91" t="s">
        <v>148</v>
      </c>
      <c r="E156" s="93">
        <v>1.3439999999999999E-3</v>
      </c>
      <c r="F156" s="93">
        <v>3.6556999999999999E-2</v>
      </c>
      <c r="G156" s="94"/>
      <c r="H156" s="95">
        <v>8363</v>
      </c>
      <c r="I156" s="96">
        <f t="shared" si="110"/>
        <v>0</v>
      </c>
      <c r="J156" s="96">
        <f t="shared" si="111"/>
        <v>11220.093504999999</v>
      </c>
      <c r="K156" s="96"/>
      <c r="L156" s="97"/>
      <c r="M156" s="97"/>
    </row>
    <row r="157" spans="1:13" s="43" customFormat="1" hidden="1" outlineLevel="2">
      <c r="A157" s="98" t="s">
        <v>294</v>
      </c>
      <c r="B157" s="99"/>
      <c r="C157" s="100" t="s">
        <v>152</v>
      </c>
      <c r="D157" s="101" t="s">
        <v>142</v>
      </c>
      <c r="E157" s="102">
        <v>1.3439999999999999E-3</v>
      </c>
      <c r="F157" s="102">
        <v>3.6556999999999999E-2</v>
      </c>
      <c r="G157" s="103"/>
      <c r="H157" s="102">
        <v>2722</v>
      </c>
      <c r="I157" s="104">
        <f t="shared" si="105"/>
        <v>0</v>
      </c>
      <c r="J157" s="104">
        <f t="shared" si="106"/>
        <v>99.508154000000005</v>
      </c>
      <c r="K157" s="96">
        <f t="shared" si="107"/>
        <v>-121.18645500000001</v>
      </c>
      <c r="L157" s="97">
        <f t="shared" si="108"/>
        <v>2.9135636544000001E-2</v>
      </c>
      <c r="M157" s="97">
        <f t="shared" si="109"/>
        <v>2.9135636544000001E-2</v>
      </c>
    </row>
    <row r="158" spans="1:13" s="43" customFormat="1" ht="21" hidden="1" outlineLevel="1">
      <c r="A158" s="105" t="s">
        <v>295</v>
      </c>
      <c r="B158" s="106" t="s">
        <v>296</v>
      </c>
      <c r="C158" s="107" t="s">
        <v>297</v>
      </c>
      <c r="D158" s="106" t="s">
        <v>162</v>
      </c>
      <c r="E158" s="108">
        <v>0.20899999999999999</v>
      </c>
      <c r="F158" s="108">
        <v>5.6848000000000001</v>
      </c>
      <c r="G158" s="109">
        <v>593</v>
      </c>
      <c r="H158" s="110"/>
      <c r="I158" s="111">
        <f t="shared" si="110"/>
        <v>21.678301000000001</v>
      </c>
      <c r="J158" s="111">
        <f t="shared" si="111"/>
        <v>0</v>
      </c>
      <c r="K158" s="111"/>
      <c r="L158" s="97"/>
      <c r="M158" s="97"/>
    </row>
    <row r="159" spans="1:13" s="74" customFormat="1" ht="36" collapsed="1">
      <c r="A159" s="65" t="s">
        <v>74</v>
      </c>
      <c r="B159" s="66" t="s">
        <v>282</v>
      </c>
      <c r="C159" s="67" t="s">
        <v>298</v>
      </c>
      <c r="D159" s="68" t="s">
        <v>162</v>
      </c>
      <c r="E159" s="69"/>
      <c r="F159" s="112">
        <v>80</v>
      </c>
      <c r="G159" s="115">
        <v>10452.27</v>
      </c>
      <c r="H159" s="113"/>
      <c r="I159" s="72">
        <f t="shared" si="105"/>
        <v>836181.60000000009</v>
      </c>
      <c r="J159" s="72">
        <f t="shared" si="106"/>
        <v>0</v>
      </c>
      <c r="K159" s="72">
        <f t="shared" si="107"/>
        <v>836181.60000000009</v>
      </c>
      <c r="L159" s="72">
        <f t="shared" si="108"/>
        <v>0</v>
      </c>
      <c r="M159" s="73">
        <f t="shared" si="109"/>
        <v>836181.60000000009</v>
      </c>
    </row>
    <row r="160" spans="1:13" s="74" customFormat="1">
      <c r="A160" s="75"/>
      <c r="B160" s="76"/>
      <c r="C160" s="77"/>
      <c r="D160" s="78"/>
      <c r="E160" s="79"/>
      <c r="F160" s="78"/>
      <c r="G160" s="114"/>
      <c r="H160" s="114"/>
      <c r="I160" s="81">
        <f t="shared" si="110"/>
        <v>0</v>
      </c>
      <c r="J160" s="81">
        <f t="shared" si="111"/>
        <v>0</v>
      </c>
      <c r="K160" s="81"/>
      <c r="L160" s="81"/>
      <c r="M160" s="81"/>
    </row>
    <row r="161" spans="1:16" s="74" customFormat="1" ht="48">
      <c r="A161" s="65" t="s">
        <v>76</v>
      </c>
      <c r="B161" s="66" t="s">
        <v>135</v>
      </c>
      <c r="C161" s="67" t="s">
        <v>299</v>
      </c>
      <c r="D161" s="68" t="s">
        <v>137</v>
      </c>
      <c r="E161" s="69"/>
      <c r="F161" s="70">
        <v>0.48749999999999999</v>
      </c>
      <c r="G161" s="71">
        <v>458904</v>
      </c>
      <c r="H161" s="71">
        <v>47489</v>
      </c>
      <c r="I161" s="72">
        <f t="shared" si="105"/>
        <v>223715.69999999998</v>
      </c>
      <c r="J161" s="72">
        <f t="shared" si="106"/>
        <v>23150.887500000001</v>
      </c>
      <c r="K161" s="72">
        <f t="shared" si="107"/>
        <v>3860.024999999976</v>
      </c>
      <c r="L161" s="72">
        <f t="shared" si="108"/>
        <v>0</v>
      </c>
      <c r="M161" s="73">
        <f t="shared" si="109"/>
        <v>223715.69999999998</v>
      </c>
    </row>
    <row r="162" spans="1:16" s="74" customFormat="1" ht="13.5" thickBot="1">
      <c r="A162" s="75"/>
      <c r="B162" s="76"/>
      <c r="C162" s="77"/>
      <c r="D162" s="78"/>
      <c r="E162" s="79"/>
      <c r="F162" s="78"/>
      <c r="G162" s="80">
        <v>403497</v>
      </c>
      <c r="H162" s="80">
        <v>13487</v>
      </c>
      <c r="I162" s="81">
        <f t="shared" si="110"/>
        <v>196704.78750000001</v>
      </c>
      <c r="J162" s="81">
        <f t="shared" si="111"/>
        <v>6574.9124999999995</v>
      </c>
      <c r="K162" s="81"/>
      <c r="L162" s="81"/>
      <c r="M162" s="81"/>
    </row>
    <row r="163" spans="1:16" s="43" customFormat="1" ht="21.75" hidden="1" outlineLevel="1" thickBot="1">
      <c r="A163" s="82" t="s">
        <v>300</v>
      </c>
      <c r="B163" s="83" t="s">
        <v>140</v>
      </c>
      <c r="C163" s="84" t="s">
        <v>141</v>
      </c>
      <c r="D163" s="83" t="s">
        <v>142</v>
      </c>
      <c r="E163" s="85">
        <v>74.555999999999997</v>
      </c>
      <c r="F163" s="85">
        <v>36.346049999999998</v>
      </c>
      <c r="G163" s="86">
        <v>5412</v>
      </c>
      <c r="H163" s="87"/>
      <c r="I163" s="88">
        <v>196705</v>
      </c>
      <c r="J163" s="88"/>
      <c r="K163" s="88"/>
      <c r="L163" s="89"/>
      <c r="M163" s="89"/>
    </row>
    <row r="164" spans="1:16" s="43" customFormat="1" ht="13.5" hidden="1" outlineLevel="1" thickBot="1">
      <c r="A164" s="82" t="s">
        <v>301</v>
      </c>
      <c r="B164" s="83" t="s">
        <v>34</v>
      </c>
      <c r="C164" s="84" t="s">
        <v>144</v>
      </c>
      <c r="D164" s="83" t="s">
        <v>142</v>
      </c>
      <c r="E164" s="85">
        <v>4.08</v>
      </c>
      <c r="F164" s="85">
        <v>1.9890000000000001</v>
      </c>
      <c r="G164" s="89"/>
      <c r="H164" s="87"/>
      <c r="I164" s="88"/>
      <c r="J164" s="88"/>
      <c r="K164" s="88"/>
      <c r="L164" s="89"/>
      <c r="M164" s="89"/>
    </row>
    <row r="165" spans="1:16" s="43" customFormat="1" ht="13.5" hidden="1" outlineLevel="1" thickBot="1">
      <c r="A165" s="90" t="s">
        <v>302</v>
      </c>
      <c r="B165" s="91" t="s">
        <v>146</v>
      </c>
      <c r="C165" s="92" t="s">
        <v>147</v>
      </c>
      <c r="D165" s="91" t="s">
        <v>148</v>
      </c>
      <c r="E165" s="93">
        <v>17.134799999999998</v>
      </c>
      <c r="F165" s="93">
        <v>8.3532150000000005</v>
      </c>
      <c r="G165" s="94"/>
      <c r="H165" s="95">
        <v>230</v>
      </c>
      <c r="I165" s="96"/>
      <c r="J165" s="96">
        <v>1921</v>
      </c>
      <c r="K165" s="96"/>
      <c r="L165" s="97"/>
      <c r="M165" s="97"/>
    </row>
    <row r="166" spans="1:16" s="43" customFormat="1" ht="21.75" hidden="1" outlineLevel="1" thickBot="1">
      <c r="A166" s="90" t="s">
        <v>303</v>
      </c>
      <c r="B166" s="91" t="s">
        <v>150</v>
      </c>
      <c r="C166" s="92" t="s">
        <v>151</v>
      </c>
      <c r="D166" s="91" t="s">
        <v>148</v>
      </c>
      <c r="E166" s="93">
        <v>2.0404800000000001</v>
      </c>
      <c r="F166" s="93">
        <v>0.99473400000000001</v>
      </c>
      <c r="G166" s="94"/>
      <c r="H166" s="95">
        <v>12979</v>
      </c>
      <c r="I166" s="96"/>
      <c r="J166" s="96">
        <v>12911</v>
      </c>
      <c r="K166" s="96"/>
      <c r="L166" s="97"/>
      <c r="M166" s="97"/>
    </row>
    <row r="167" spans="1:16" s="43" customFormat="1" ht="13.5" hidden="1" outlineLevel="2" thickBot="1">
      <c r="A167" s="98" t="s">
        <v>303</v>
      </c>
      <c r="B167" s="99"/>
      <c r="C167" s="100" t="s">
        <v>152</v>
      </c>
      <c r="D167" s="101" t="s">
        <v>142</v>
      </c>
      <c r="E167" s="102">
        <v>2.0404800000000001</v>
      </c>
      <c r="F167" s="102">
        <v>0.99473400000000001</v>
      </c>
      <c r="G167" s="103"/>
      <c r="H167" s="102">
        <v>3888</v>
      </c>
      <c r="I167" s="104"/>
      <c r="J167" s="104">
        <v>3867.53</v>
      </c>
      <c r="K167" s="96"/>
      <c r="L167" s="97"/>
      <c r="M167" s="97"/>
    </row>
    <row r="168" spans="1:16" s="43" customFormat="1" ht="13.5" hidden="1" outlineLevel="1" thickBot="1">
      <c r="A168" s="90" t="s">
        <v>304</v>
      </c>
      <c r="B168" s="91" t="s">
        <v>154</v>
      </c>
      <c r="C168" s="92" t="s">
        <v>155</v>
      </c>
      <c r="D168" s="91" t="s">
        <v>148</v>
      </c>
      <c r="E168" s="93">
        <v>2.0404800000000001</v>
      </c>
      <c r="F168" s="93">
        <v>0.99473400000000001</v>
      </c>
      <c r="G168" s="94"/>
      <c r="H168" s="95">
        <v>8363</v>
      </c>
      <c r="I168" s="96"/>
      <c r="J168" s="96">
        <v>8319</v>
      </c>
      <c r="K168" s="96"/>
      <c r="L168" s="97"/>
      <c r="M168" s="97"/>
    </row>
    <row r="169" spans="1:16" s="43" customFormat="1" ht="13.5" hidden="1" outlineLevel="2" thickBot="1">
      <c r="A169" s="98" t="s">
        <v>304</v>
      </c>
      <c r="B169" s="99"/>
      <c r="C169" s="100" t="s">
        <v>152</v>
      </c>
      <c r="D169" s="101" t="s">
        <v>142</v>
      </c>
      <c r="E169" s="102">
        <v>2.0404800000000001</v>
      </c>
      <c r="F169" s="102">
        <v>0.99473400000000001</v>
      </c>
      <c r="G169" s="103"/>
      <c r="H169" s="102">
        <v>2722</v>
      </c>
      <c r="I169" s="104"/>
      <c r="J169" s="104">
        <v>2707.67</v>
      </c>
      <c r="K169" s="96"/>
      <c r="L169" s="97"/>
      <c r="M169" s="97"/>
    </row>
    <row r="170" spans="1:16" s="43" customFormat="1" ht="13.5" hidden="1" outlineLevel="1" thickBot="1">
      <c r="A170" s="105" t="s">
        <v>305</v>
      </c>
      <c r="B170" s="106" t="s">
        <v>157</v>
      </c>
      <c r="C170" s="107" t="s">
        <v>158</v>
      </c>
      <c r="D170" s="106" t="s">
        <v>137</v>
      </c>
      <c r="E170" s="108">
        <v>2.5400000000000002E-3</v>
      </c>
      <c r="F170" s="108">
        <v>1.238E-3</v>
      </c>
      <c r="G170" s="109">
        <v>1510113</v>
      </c>
      <c r="H170" s="110"/>
      <c r="I170" s="111"/>
      <c r="J170" s="111"/>
      <c r="K170" s="111">
        <v>1870</v>
      </c>
      <c r="L170" s="97"/>
      <c r="M170" s="97"/>
    </row>
    <row r="171" spans="1:16" s="43" customFormat="1" ht="21.75" hidden="1" outlineLevel="1" thickBot="1">
      <c r="A171" s="105" t="s">
        <v>306</v>
      </c>
      <c r="B171" s="106" t="s">
        <v>160</v>
      </c>
      <c r="C171" s="107" t="s">
        <v>161</v>
      </c>
      <c r="D171" s="106" t="s">
        <v>162</v>
      </c>
      <c r="E171" s="108">
        <v>3.36</v>
      </c>
      <c r="F171" s="108">
        <v>1.6379999999999999</v>
      </c>
      <c r="G171" s="109">
        <v>1215</v>
      </c>
      <c r="H171" s="110"/>
      <c r="I171" s="111"/>
      <c r="J171" s="111"/>
      <c r="K171" s="111">
        <v>1990</v>
      </c>
      <c r="L171" s="97"/>
      <c r="M171" s="97"/>
    </row>
    <row r="172" spans="1:16" s="43" customFormat="1" ht="24.75" customHeight="1" collapsed="1" thickTop="1">
      <c r="A172" s="116"/>
      <c r="B172" s="117"/>
      <c r="C172" s="118" t="s">
        <v>307</v>
      </c>
      <c r="D172" s="119" t="s">
        <v>320</v>
      </c>
      <c r="E172" s="120"/>
      <c r="F172" s="197"/>
      <c r="G172" s="198"/>
      <c r="H172" s="198"/>
      <c r="I172" s="198">
        <f>I26+I37+I39+I50+I52+I61+I63+I72+I74+I86+I88+I90+I101+I103+I105+I117+I124+I134+I136+I147+I138+I149+I159+I161</f>
        <v>11356840.914633598</v>
      </c>
      <c r="J172" s="198">
        <f t="shared" ref="J172:L172" si="112">J26+J37+J39+J50+J52+J61+J63+J72+J74+J86+J88+J90+J101+J103+J105+J117+J124+J134+J136+J147+J138+J149+J159+J161</f>
        <v>351882.98397200002</v>
      </c>
      <c r="K172" s="198">
        <f t="shared" si="112"/>
        <v>8674470.8723104</v>
      </c>
      <c r="L172" s="198">
        <f t="shared" si="112"/>
        <v>0</v>
      </c>
      <c r="M172" s="196">
        <f>M26+M37+M39+M50+M52+M61+M63+M72+M74+M86+M88+M90+M101+M103+M105+M117+M124+M134+M136+M147+M138+M149+M159+M161</f>
        <v>11356840.914633598</v>
      </c>
      <c r="N172" s="199"/>
      <c r="P172" s="200"/>
    </row>
    <row r="173" spans="1:16" s="43" customFormat="1">
      <c r="A173" s="124"/>
      <c r="B173" s="125"/>
      <c r="C173" s="126"/>
      <c r="D173" s="127"/>
      <c r="E173" s="128"/>
      <c r="F173" s="201"/>
      <c r="G173" s="202"/>
      <c r="H173" s="202"/>
      <c r="I173" s="202">
        <f>I27+I38+I40+I51+I53+I62+I64+I73+I75+I87+I89+I91+I102+I104+I106+I118+I125+I135+I137+I148+I139+I150+I160+I162</f>
        <v>2330487.0583512001</v>
      </c>
      <c r="J173" s="202">
        <f t="shared" ref="J173:L173" si="113">J27+J38+J40+J51+J53+J62+J64+J73+J75+J87+J89+J91+J102+J104+J106+J118+J125+J135+J137+J148+J139+J150+J160+J162</f>
        <v>95128.265386400002</v>
      </c>
      <c r="K173" s="202">
        <f t="shared" si="113"/>
        <v>0</v>
      </c>
      <c r="L173" s="202">
        <f t="shared" si="113"/>
        <v>0</v>
      </c>
      <c r="M173" s="202"/>
    </row>
    <row r="174" spans="1:16" s="43" customFormat="1" ht="12.75" customHeight="1">
      <c r="A174" s="131"/>
      <c r="B174" s="132"/>
      <c r="C174" s="133"/>
      <c r="D174" s="134"/>
      <c r="E174" s="135"/>
      <c r="F174" s="203"/>
      <c r="G174" s="204"/>
      <c r="H174" s="204"/>
      <c r="I174" s="204"/>
      <c r="J174" s="204"/>
      <c r="K174" s="204"/>
      <c r="L174" s="204"/>
      <c r="M174" s="204"/>
      <c r="O174" s="200">
        <f>K172*1.297256615</f>
        <v>11253014.720729487</v>
      </c>
    </row>
    <row r="175" spans="1:16" s="43" customFormat="1">
      <c r="A175" s="205"/>
      <c r="B175" s="320" t="s">
        <v>375</v>
      </c>
      <c r="C175" s="321"/>
      <c r="D175" s="206"/>
      <c r="E175" s="207"/>
      <c r="F175" s="208"/>
      <c r="G175" s="209"/>
      <c r="H175" s="209"/>
      <c r="I175" s="210">
        <f>K173</f>
        <v>0</v>
      </c>
      <c r="J175" s="210"/>
      <c r="K175" s="210"/>
      <c r="L175" s="210"/>
      <c r="M175" s="210"/>
    </row>
    <row r="176" spans="1:16" s="43" customFormat="1">
      <c r="A176" s="211"/>
      <c r="B176" s="320" t="s">
        <v>376</v>
      </c>
      <c r="C176" s="321"/>
      <c r="D176" s="212" t="s">
        <v>320</v>
      </c>
      <c r="E176" s="213"/>
      <c r="F176" s="214"/>
      <c r="G176" s="215"/>
      <c r="H176" s="215"/>
      <c r="I176" s="216">
        <f>K172</f>
        <v>8674470.8723104</v>
      </c>
      <c r="J176" s="216"/>
      <c r="K176" s="216"/>
      <c r="L176" s="216"/>
      <c r="M176" s="216"/>
    </row>
    <row r="177" spans="1:16" s="43" customFormat="1">
      <c r="A177" s="217"/>
      <c r="B177" s="218"/>
      <c r="C177" s="218" t="s">
        <v>377</v>
      </c>
      <c r="D177" s="212" t="s">
        <v>320</v>
      </c>
      <c r="E177" s="213"/>
      <c r="F177" s="214"/>
      <c r="G177" s="215"/>
      <c r="H177" s="215"/>
      <c r="I177" s="216">
        <f>L172</f>
        <v>0</v>
      </c>
      <c r="J177" s="216"/>
      <c r="K177" s="216"/>
      <c r="L177" s="216"/>
      <c r="M177" s="216">
        <f>'[1]360040430_К9'!M194-'[1]КМ2 ЛС34 формула с коэфф.'!M194</f>
        <v>0</v>
      </c>
      <c r="N177" s="200"/>
    </row>
    <row r="178" spans="1:16" s="43" customFormat="1" ht="12.75" customHeight="1">
      <c r="A178" s="217"/>
      <c r="B178" s="218"/>
      <c r="C178" s="218" t="s">
        <v>378</v>
      </c>
      <c r="D178" s="212" t="s">
        <v>320</v>
      </c>
      <c r="E178" s="213"/>
      <c r="F178" s="214"/>
      <c r="G178" s="215"/>
      <c r="H178" s="215"/>
      <c r="I178" s="216">
        <f>L173</f>
        <v>0</v>
      </c>
      <c r="J178" s="216"/>
      <c r="K178" s="216"/>
      <c r="L178" s="216"/>
      <c r="M178" s="216"/>
      <c r="O178" s="219"/>
      <c r="P178" s="220"/>
    </row>
    <row r="179" spans="1:16" ht="12.75" customHeight="1">
      <c r="A179" s="211"/>
      <c r="B179" s="234"/>
      <c r="C179" s="235" t="s">
        <v>379</v>
      </c>
      <c r="D179" s="212" t="s">
        <v>320</v>
      </c>
      <c r="E179" s="213"/>
      <c r="F179" s="214"/>
      <c r="G179" s="215"/>
      <c r="H179" s="215"/>
      <c r="I179" s="216">
        <f>I172</f>
        <v>11356840.914633598</v>
      </c>
      <c r="J179" s="216"/>
      <c r="K179" s="216" t="s">
        <v>380</v>
      </c>
      <c r="L179" s="216" t="s">
        <v>381</v>
      </c>
      <c r="M179" s="216" t="s">
        <v>382</v>
      </c>
      <c r="N179" s="221">
        <f>I175*1.03*1.0958*0.989307</f>
        <v>0</v>
      </c>
      <c r="O179" s="222" t="s">
        <v>383</v>
      </c>
      <c r="P179" s="220"/>
    </row>
    <row r="180" spans="1:16" ht="12.75" customHeight="1">
      <c r="A180" s="223"/>
      <c r="B180" s="320" t="s">
        <v>384</v>
      </c>
      <c r="C180" s="320"/>
      <c r="D180" s="223"/>
      <c r="E180" s="224"/>
      <c r="F180" s="225"/>
      <c r="G180" s="226" t="s">
        <v>385</v>
      </c>
      <c r="H180" s="227">
        <v>0.108</v>
      </c>
      <c r="I180" s="228">
        <f>(I179-I175)*10.8%</f>
        <v>1226538.8187804287</v>
      </c>
      <c r="J180" s="228"/>
      <c r="K180" s="228">
        <f>(I173+J172)*10.8%</f>
        <v>289695.96457090566</v>
      </c>
      <c r="L180" s="228">
        <f>I176*10.8%</f>
        <v>936842.8542095233</v>
      </c>
      <c r="M180" s="228"/>
      <c r="N180" s="229">
        <f>(((I176*10.8%)+(L181*5%)+(L181*3%)+I176)*1.0958)*0.989307</f>
        <v>11253014.72201664</v>
      </c>
      <c r="O180" s="220" t="s">
        <v>386</v>
      </c>
    </row>
    <row r="181" spans="1:16" ht="12.75" customHeight="1">
      <c r="A181" s="223"/>
      <c r="B181" s="322" t="s">
        <v>387</v>
      </c>
      <c r="C181" s="322"/>
      <c r="D181" s="223"/>
      <c r="E181" s="224"/>
      <c r="F181" s="225"/>
      <c r="G181" s="226"/>
      <c r="H181" s="227"/>
      <c r="I181" s="228">
        <f>I179+I180</f>
        <v>12583379.733414028</v>
      </c>
      <c r="J181" s="228"/>
      <c r="K181" s="228">
        <f>(I173+J172)+K180</f>
        <v>2972066.0068941056</v>
      </c>
      <c r="L181" s="228">
        <f>I176+L180</f>
        <v>9611313.7265199237</v>
      </c>
      <c r="M181" s="228"/>
      <c r="N181" s="229">
        <f>I186-N180-N179</f>
        <v>3479722.2816796228</v>
      </c>
      <c r="O181" s="220" t="s">
        <v>380</v>
      </c>
      <c r="P181" s="221"/>
    </row>
    <row r="182" spans="1:16" ht="12.75" customHeight="1">
      <c r="A182" s="223"/>
      <c r="B182" s="320" t="s">
        <v>388</v>
      </c>
      <c r="C182" s="320"/>
      <c r="D182" s="223"/>
      <c r="E182" s="224"/>
      <c r="F182" s="225"/>
      <c r="G182" s="226" t="s">
        <v>385</v>
      </c>
      <c r="H182" s="227">
        <v>0.05</v>
      </c>
      <c r="I182" s="228">
        <f>(I181-I175)*5%</f>
        <v>629168.98667070142</v>
      </c>
      <c r="J182" s="228"/>
      <c r="K182" s="228">
        <f>K181*5%</f>
        <v>148603.30034470529</v>
      </c>
      <c r="L182" s="228">
        <f>L181*5%</f>
        <v>480565.68632599618</v>
      </c>
      <c r="M182" s="228"/>
      <c r="N182" s="222"/>
    </row>
    <row r="183" spans="1:16">
      <c r="A183" s="223"/>
      <c r="B183" s="320" t="s">
        <v>389</v>
      </c>
      <c r="C183" s="320"/>
      <c r="D183" s="223"/>
      <c r="E183" s="224"/>
      <c r="F183" s="225"/>
      <c r="G183" s="226" t="s">
        <v>385</v>
      </c>
      <c r="H183" s="227">
        <v>0.03</v>
      </c>
      <c r="I183" s="228">
        <f>I181*H183</f>
        <v>377501.39200242085</v>
      </c>
      <c r="J183" s="228"/>
      <c r="K183" s="228">
        <f>K181*3%</f>
        <v>89161.980206823166</v>
      </c>
      <c r="L183" s="228">
        <f>L181*3%</f>
        <v>288339.4117955977</v>
      </c>
      <c r="M183" s="228">
        <f>(I175*3%)</f>
        <v>0</v>
      </c>
      <c r="N183" s="221"/>
    </row>
    <row r="184" spans="1:16" ht="12.75" customHeight="1">
      <c r="A184" s="223"/>
      <c r="B184" s="319" t="s">
        <v>390</v>
      </c>
      <c r="C184" s="319"/>
      <c r="D184" s="223"/>
      <c r="E184" s="224"/>
      <c r="F184" s="225"/>
      <c r="G184" s="226"/>
      <c r="H184" s="227"/>
      <c r="I184" s="228">
        <f>I181+I182+I183</f>
        <v>13590050.112087149</v>
      </c>
      <c r="J184" s="228"/>
      <c r="K184" s="228">
        <f>K181+K182+K183</f>
        <v>3209831.2874456337</v>
      </c>
      <c r="L184" s="228">
        <f t="shared" ref="L184" si="114">L181+L182+L183</f>
        <v>10380218.824641518</v>
      </c>
      <c r="M184" s="228">
        <f>M181+M182+M183+I175</f>
        <v>0</v>
      </c>
      <c r="N184" s="222"/>
    </row>
    <row r="185" spans="1:16">
      <c r="A185" s="223"/>
      <c r="B185" s="320" t="s">
        <v>391</v>
      </c>
      <c r="C185" s="320"/>
      <c r="D185" s="223"/>
      <c r="E185" s="224"/>
      <c r="F185" s="225"/>
      <c r="G185" s="226" t="s">
        <v>385</v>
      </c>
      <c r="H185" s="230">
        <v>1.0958000000000001</v>
      </c>
      <c r="I185" s="228">
        <f>I184*H185</f>
        <v>14891976.9128251</v>
      </c>
      <c r="J185" s="228"/>
      <c r="K185" s="228">
        <f>K184*1.0958</f>
        <v>3517333.1247829259</v>
      </c>
      <c r="L185" s="228">
        <f>L184*1.0958</f>
        <v>11374643.788042177</v>
      </c>
      <c r="M185" s="228">
        <f t="shared" ref="M185" si="115">M184*1.0958</f>
        <v>0</v>
      </c>
      <c r="N185" s="221"/>
      <c r="P185" s="221"/>
    </row>
    <row r="186" spans="1:16" ht="14.25" customHeight="1">
      <c r="A186" s="223"/>
      <c r="B186" s="320" t="s">
        <v>392</v>
      </c>
      <c r="C186" s="320"/>
      <c r="D186" s="223"/>
      <c r="E186" s="224"/>
      <c r="F186" s="225"/>
      <c r="G186" s="226" t="s">
        <v>385</v>
      </c>
      <c r="H186" s="231">
        <v>0.98930700000000005</v>
      </c>
      <c r="I186" s="228">
        <f>I185*H186</f>
        <v>14732737.003696263</v>
      </c>
      <c r="J186" s="228"/>
      <c r="K186" s="228">
        <f>K185*H186</f>
        <v>3479722.2816796224</v>
      </c>
      <c r="L186" s="228">
        <f>L185*H186</f>
        <v>11253014.722016642</v>
      </c>
      <c r="M186" s="228">
        <f>M185*H186</f>
        <v>0</v>
      </c>
      <c r="N186" s="222"/>
    </row>
    <row r="187" spans="1:16">
      <c r="A187" s="223"/>
      <c r="B187" s="232" t="s">
        <v>393</v>
      </c>
      <c r="C187" s="232"/>
      <c r="D187" s="223"/>
      <c r="E187" s="224"/>
      <c r="F187" s="225"/>
      <c r="G187" s="226" t="s">
        <v>385</v>
      </c>
      <c r="H187" s="233">
        <v>0.12</v>
      </c>
      <c r="I187" s="228">
        <f>I186*H187</f>
        <v>1767928.4404435514</v>
      </c>
      <c r="J187" s="228"/>
      <c r="K187" s="228"/>
      <c r="L187" s="228"/>
      <c r="M187" s="228"/>
      <c r="N187" s="222"/>
    </row>
    <row r="188" spans="1:16">
      <c r="A188" s="223"/>
      <c r="B188" s="319" t="s">
        <v>394</v>
      </c>
      <c r="C188" s="319"/>
      <c r="D188" s="223"/>
      <c r="E188" s="224"/>
      <c r="F188" s="225"/>
      <c r="G188" s="226"/>
      <c r="H188" s="226"/>
      <c r="I188" s="228">
        <f>I186+I187</f>
        <v>16500665.444139814</v>
      </c>
      <c r="J188" s="228"/>
      <c r="K188" s="228"/>
      <c r="L188" s="228"/>
      <c r="M188" s="228"/>
      <c r="N188" s="222"/>
      <c r="P188" s="221"/>
    </row>
    <row r="189" spans="1:16" s="236" customFormat="1"/>
  </sheetData>
  <mergeCells count="34">
    <mergeCell ref="C3:M3"/>
    <mergeCell ref="C4:M4"/>
    <mergeCell ref="C5:M5"/>
    <mergeCell ref="C6:M6"/>
    <mergeCell ref="C8:G8"/>
    <mergeCell ref="H8:M8"/>
    <mergeCell ref="M19:M21"/>
    <mergeCell ref="E22:F22"/>
    <mergeCell ref="A23:M23"/>
    <mergeCell ref="C9:K9"/>
    <mergeCell ref="C11:M11"/>
    <mergeCell ref="C12:L12"/>
    <mergeCell ref="C14:M14"/>
    <mergeCell ref="A18:K18"/>
    <mergeCell ref="A19:A21"/>
    <mergeCell ref="B19:B21"/>
    <mergeCell ref="C19:C21"/>
    <mergeCell ref="D19:D21"/>
    <mergeCell ref="E19:F20"/>
    <mergeCell ref="F24:K24"/>
    <mergeCell ref="C25:D25"/>
    <mergeCell ref="G19:H19"/>
    <mergeCell ref="I19:K19"/>
    <mergeCell ref="L19:L20"/>
    <mergeCell ref="B188:C188"/>
    <mergeCell ref="B175:C175"/>
    <mergeCell ref="B176:C176"/>
    <mergeCell ref="B180:C180"/>
    <mergeCell ref="B181:C181"/>
    <mergeCell ref="B182:C182"/>
    <mergeCell ref="B183:C183"/>
    <mergeCell ref="B184:C184"/>
    <mergeCell ref="B185:C185"/>
    <mergeCell ref="B186:C186"/>
  </mergeCells>
  <printOptions horizontalCentered="1"/>
  <pageMargins left="0.59" right="0.39" top="0.59" bottom="0.59" header="0.39" footer="0.39"/>
  <pageSetup paperSize="9" scale="60" fitToHeight="10000" orientation="landscape" horizontalDpi="300" verticalDpi="300" r:id="rId1"/>
  <headerFooter>
    <oddHeader>&amp;L&amp;9Программный комплекс АВС (редакция 2023.10)&amp;C&amp;P&amp;R360014020</oddHeader>
    <oddFooter>&amp;CСтраниц -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89"/>
  <sheetViews>
    <sheetView showGridLines="0" topLeftCell="A27" workbookViewId="0">
      <selection activeCell="F159" sqref="F159"/>
    </sheetView>
  </sheetViews>
  <sheetFormatPr defaultRowHeight="12.75" outlineLevelRow="2" outlineLevelCol="1"/>
  <cols>
    <col min="1" max="1" width="5.7109375" style="53" customWidth="1"/>
    <col min="2" max="2" width="16.7109375" style="53" customWidth="1"/>
    <col min="3" max="3" width="53" style="53" customWidth="1"/>
    <col min="4" max="4" width="12.7109375" style="53" customWidth="1"/>
    <col min="5" max="5" width="10.7109375" style="53" customWidth="1" outlineLevel="1"/>
    <col min="6" max="6" width="10.7109375" style="53" customWidth="1"/>
    <col min="7" max="13" width="12.7109375" style="53" customWidth="1"/>
    <col min="14" max="14" width="12" style="53" customWidth="1"/>
    <col min="15" max="15" width="11.28515625" style="53" bestFit="1" customWidth="1"/>
    <col min="16" max="256" width="9.140625" style="53"/>
    <col min="257" max="257" width="5.7109375" style="53" customWidth="1"/>
    <col min="258" max="258" width="16.7109375" style="53" customWidth="1"/>
    <col min="259" max="259" width="53" style="53" customWidth="1"/>
    <col min="260" max="260" width="12.7109375" style="53" customWidth="1"/>
    <col min="261" max="262" width="10.7109375" style="53" customWidth="1"/>
    <col min="263" max="269" width="12.7109375" style="53" customWidth="1"/>
    <col min="270" max="512" width="9.140625" style="53"/>
    <col min="513" max="513" width="5.7109375" style="53" customWidth="1"/>
    <col min="514" max="514" width="16.7109375" style="53" customWidth="1"/>
    <col min="515" max="515" width="53" style="53" customWidth="1"/>
    <col min="516" max="516" width="12.7109375" style="53" customWidth="1"/>
    <col min="517" max="518" width="10.7109375" style="53" customWidth="1"/>
    <col min="519" max="525" width="12.7109375" style="53" customWidth="1"/>
    <col min="526" max="768" width="9.140625" style="53"/>
    <col min="769" max="769" width="5.7109375" style="53" customWidth="1"/>
    <col min="770" max="770" width="16.7109375" style="53" customWidth="1"/>
    <col min="771" max="771" width="53" style="53" customWidth="1"/>
    <col min="772" max="772" width="12.7109375" style="53" customWidth="1"/>
    <col min="773" max="774" width="10.7109375" style="53" customWidth="1"/>
    <col min="775" max="781" width="12.7109375" style="53" customWidth="1"/>
    <col min="782" max="1024" width="9.140625" style="53"/>
    <col min="1025" max="1025" width="5.7109375" style="53" customWidth="1"/>
    <col min="1026" max="1026" width="16.7109375" style="53" customWidth="1"/>
    <col min="1027" max="1027" width="53" style="53" customWidth="1"/>
    <col min="1028" max="1028" width="12.7109375" style="53" customWidth="1"/>
    <col min="1029" max="1030" width="10.7109375" style="53" customWidth="1"/>
    <col min="1031" max="1037" width="12.7109375" style="53" customWidth="1"/>
    <col min="1038" max="1280" width="9.140625" style="53"/>
    <col min="1281" max="1281" width="5.7109375" style="53" customWidth="1"/>
    <col min="1282" max="1282" width="16.7109375" style="53" customWidth="1"/>
    <col min="1283" max="1283" width="53" style="53" customWidth="1"/>
    <col min="1284" max="1284" width="12.7109375" style="53" customWidth="1"/>
    <col min="1285" max="1286" width="10.7109375" style="53" customWidth="1"/>
    <col min="1287" max="1293" width="12.7109375" style="53" customWidth="1"/>
    <col min="1294" max="1536" width="9.140625" style="53"/>
    <col min="1537" max="1537" width="5.7109375" style="53" customWidth="1"/>
    <col min="1538" max="1538" width="16.7109375" style="53" customWidth="1"/>
    <col min="1539" max="1539" width="53" style="53" customWidth="1"/>
    <col min="1540" max="1540" width="12.7109375" style="53" customWidth="1"/>
    <col min="1541" max="1542" width="10.7109375" style="53" customWidth="1"/>
    <col min="1543" max="1549" width="12.7109375" style="53" customWidth="1"/>
    <col min="1550" max="1792" width="9.140625" style="53"/>
    <col min="1793" max="1793" width="5.7109375" style="53" customWidth="1"/>
    <col min="1794" max="1794" width="16.7109375" style="53" customWidth="1"/>
    <col min="1795" max="1795" width="53" style="53" customWidth="1"/>
    <col min="1796" max="1796" width="12.7109375" style="53" customWidth="1"/>
    <col min="1797" max="1798" width="10.7109375" style="53" customWidth="1"/>
    <col min="1799" max="1805" width="12.7109375" style="53" customWidth="1"/>
    <col min="1806" max="2048" width="9.140625" style="53"/>
    <col min="2049" max="2049" width="5.7109375" style="53" customWidth="1"/>
    <col min="2050" max="2050" width="16.7109375" style="53" customWidth="1"/>
    <col min="2051" max="2051" width="53" style="53" customWidth="1"/>
    <col min="2052" max="2052" width="12.7109375" style="53" customWidth="1"/>
    <col min="2053" max="2054" width="10.7109375" style="53" customWidth="1"/>
    <col min="2055" max="2061" width="12.7109375" style="53" customWidth="1"/>
    <col min="2062" max="2304" width="9.140625" style="53"/>
    <col min="2305" max="2305" width="5.7109375" style="53" customWidth="1"/>
    <col min="2306" max="2306" width="16.7109375" style="53" customWidth="1"/>
    <col min="2307" max="2307" width="53" style="53" customWidth="1"/>
    <col min="2308" max="2308" width="12.7109375" style="53" customWidth="1"/>
    <col min="2309" max="2310" width="10.7109375" style="53" customWidth="1"/>
    <col min="2311" max="2317" width="12.7109375" style="53" customWidth="1"/>
    <col min="2318" max="2560" width="9.140625" style="53"/>
    <col min="2561" max="2561" width="5.7109375" style="53" customWidth="1"/>
    <col min="2562" max="2562" width="16.7109375" style="53" customWidth="1"/>
    <col min="2563" max="2563" width="53" style="53" customWidth="1"/>
    <col min="2564" max="2564" width="12.7109375" style="53" customWidth="1"/>
    <col min="2565" max="2566" width="10.7109375" style="53" customWidth="1"/>
    <col min="2567" max="2573" width="12.7109375" style="53" customWidth="1"/>
    <col min="2574" max="2816" width="9.140625" style="53"/>
    <col min="2817" max="2817" width="5.7109375" style="53" customWidth="1"/>
    <col min="2818" max="2818" width="16.7109375" style="53" customWidth="1"/>
    <col min="2819" max="2819" width="53" style="53" customWidth="1"/>
    <col min="2820" max="2820" width="12.7109375" style="53" customWidth="1"/>
    <col min="2821" max="2822" width="10.7109375" style="53" customWidth="1"/>
    <col min="2823" max="2829" width="12.7109375" style="53" customWidth="1"/>
    <col min="2830" max="3072" width="9.140625" style="53"/>
    <col min="3073" max="3073" width="5.7109375" style="53" customWidth="1"/>
    <col min="3074" max="3074" width="16.7109375" style="53" customWidth="1"/>
    <col min="3075" max="3075" width="53" style="53" customWidth="1"/>
    <col min="3076" max="3076" width="12.7109375" style="53" customWidth="1"/>
    <col min="3077" max="3078" width="10.7109375" style="53" customWidth="1"/>
    <col min="3079" max="3085" width="12.7109375" style="53" customWidth="1"/>
    <col min="3086" max="3328" width="9.140625" style="53"/>
    <col min="3329" max="3329" width="5.7109375" style="53" customWidth="1"/>
    <col min="3330" max="3330" width="16.7109375" style="53" customWidth="1"/>
    <col min="3331" max="3331" width="53" style="53" customWidth="1"/>
    <col min="3332" max="3332" width="12.7109375" style="53" customWidth="1"/>
    <col min="3333" max="3334" width="10.7109375" style="53" customWidth="1"/>
    <col min="3335" max="3341" width="12.7109375" style="53" customWidth="1"/>
    <col min="3342" max="3584" width="9.140625" style="53"/>
    <col min="3585" max="3585" width="5.7109375" style="53" customWidth="1"/>
    <col min="3586" max="3586" width="16.7109375" style="53" customWidth="1"/>
    <col min="3587" max="3587" width="53" style="53" customWidth="1"/>
    <col min="3588" max="3588" width="12.7109375" style="53" customWidth="1"/>
    <col min="3589" max="3590" width="10.7109375" style="53" customWidth="1"/>
    <col min="3591" max="3597" width="12.7109375" style="53" customWidth="1"/>
    <col min="3598" max="3840" width="9.140625" style="53"/>
    <col min="3841" max="3841" width="5.7109375" style="53" customWidth="1"/>
    <col min="3842" max="3842" width="16.7109375" style="53" customWidth="1"/>
    <col min="3843" max="3843" width="53" style="53" customWidth="1"/>
    <col min="3844" max="3844" width="12.7109375" style="53" customWidth="1"/>
    <col min="3845" max="3846" width="10.7109375" style="53" customWidth="1"/>
    <col min="3847" max="3853" width="12.7109375" style="53" customWidth="1"/>
    <col min="3854" max="4096" width="9.140625" style="53"/>
    <col min="4097" max="4097" width="5.7109375" style="53" customWidth="1"/>
    <col min="4098" max="4098" width="16.7109375" style="53" customWidth="1"/>
    <col min="4099" max="4099" width="53" style="53" customWidth="1"/>
    <col min="4100" max="4100" width="12.7109375" style="53" customWidth="1"/>
    <col min="4101" max="4102" width="10.7109375" style="53" customWidth="1"/>
    <col min="4103" max="4109" width="12.7109375" style="53" customWidth="1"/>
    <col min="4110" max="4352" width="9.140625" style="53"/>
    <col min="4353" max="4353" width="5.7109375" style="53" customWidth="1"/>
    <col min="4354" max="4354" width="16.7109375" style="53" customWidth="1"/>
    <col min="4355" max="4355" width="53" style="53" customWidth="1"/>
    <col min="4356" max="4356" width="12.7109375" style="53" customWidth="1"/>
    <col min="4357" max="4358" width="10.7109375" style="53" customWidth="1"/>
    <col min="4359" max="4365" width="12.7109375" style="53" customWidth="1"/>
    <col min="4366" max="4608" width="9.140625" style="53"/>
    <col min="4609" max="4609" width="5.7109375" style="53" customWidth="1"/>
    <col min="4610" max="4610" width="16.7109375" style="53" customWidth="1"/>
    <col min="4611" max="4611" width="53" style="53" customWidth="1"/>
    <col min="4612" max="4612" width="12.7109375" style="53" customWidth="1"/>
    <col min="4613" max="4614" width="10.7109375" style="53" customWidth="1"/>
    <col min="4615" max="4621" width="12.7109375" style="53" customWidth="1"/>
    <col min="4622" max="4864" width="9.140625" style="53"/>
    <col min="4865" max="4865" width="5.7109375" style="53" customWidth="1"/>
    <col min="4866" max="4866" width="16.7109375" style="53" customWidth="1"/>
    <col min="4867" max="4867" width="53" style="53" customWidth="1"/>
    <col min="4868" max="4868" width="12.7109375" style="53" customWidth="1"/>
    <col min="4869" max="4870" width="10.7109375" style="53" customWidth="1"/>
    <col min="4871" max="4877" width="12.7109375" style="53" customWidth="1"/>
    <col min="4878" max="5120" width="9.140625" style="53"/>
    <col min="5121" max="5121" width="5.7109375" style="53" customWidth="1"/>
    <col min="5122" max="5122" width="16.7109375" style="53" customWidth="1"/>
    <col min="5123" max="5123" width="53" style="53" customWidth="1"/>
    <col min="5124" max="5124" width="12.7109375" style="53" customWidth="1"/>
    <col min="5125" max="5126" width="10.7109375" style="53" customWidth="1"/>
    <col min="5127" max="5133" width="12.7109375" style="53" customWidth="1"/>
    <col min="5134" max="5376" width="9.140625" style="53"/>
    <col min="5377" max="5377" width="5.7109375" style="53" customWidth="1"/>
    <col min="5378" max="5378" width="16.7109375" style="53" customWidth="1"/>
    <col min="5379" max="5379" width="53" style="53" customWidth="1"/>
    <col min="5380" max="5380" width="12.7109375" style="53" customWidth="1"/>
    <col min="5381" max="5382" width="10.7109375" style="53" customWidth="1"/>
    <col min="5383" max="5389" width="12.7109375" style="53" customWidth="1"/>
    <col min="5390" max="5632" width="9.140625" style="53"/>
    <col min="5633" max="5633" width="5.7109375" style="53" customWidth="1"/>
    <col min="5634" max="5634" width="16.7109375" style="53" customWidth="1"/>
    <col min="5635" max="5635" width="53" style="53" customWidth="1"/>
    <col min="5636" max="5636" width="12.7109375" style="53" customWidth="1"/>
    <col min="5637" max="5638" width="10.7109375" style="53" customWidth="1"/>
    <col min="5639" max="5645" width="12.7109375" style="53" customWidth="1"/>
    <col min="5646" max="5888" width="9.140625" style="53"/>
    <col min="5889" max="5889" width="5.7109375" style="53" customWidth="1"/>
    <col min="5890" max="5890" width="16.7109375" style="53" customWidth="1"/>
    <col min="5891" max="5891" width="53" style="53" customWidth="1"/>
    <col min="5892" max="5892" width="12.7109375" style="53" customWidth="1"/>
    <col min="5893" max="5894" width="10.7109375" style="53" customWidth="1"/>
    <col min="5895" max="5901" width="12.7109375" style="53" customWidth="1"/>
    <col min="5902" max="6144" width="9.140625" style="53"/>
    <col min="6145" max="6145" width="5.7109375" style="53" customWidth="1"/>
    <col min="6146" max="6146" width="16.7109375" style="53" customWidth="1"/>
    <col min="6147" max="6147" width="53" style="53" customWidth="1"/>
    <col min="6148" max="6148" width="12.7109375" style="53" customWidth="1"/>
    <col min="6149" max="6150" width="10.7109375" style="53" customWidth="1"/>
    <col min="6151" max="6157" width="12.7109375" style="53" customWidth="1"/>
    <col min="6158" max="6400" width="9.140625" style="53"/>
    <col min="6401" max="6401" width="5.7109375" style="53" customWidth="1"/>
    <col min="6402" max="6402" width="16.7109375" style="53" customWidth="1"/>
    <col min="6403" max="6403" width="53" style="53" customWidth="1"/>
    <col min="6404" max="6404" width="12.7109375" style="53" customWidth="1"/>
    <col min="6405" max="6406" width="10.7109375" style="53" customWidth="1"/>
    <col min="6407" max="6413" width="12.7109375" style="53" customWidth="1"/>
    <col min="6414" max="6656" width="9.140625" style="53"/>
    <col min="6657" max="6657" width="5.7109375" style="53" customWidth="1"/>
    <col min="6658" max="6658" width="16.7109375" style="53" customWidth="1"/>
    <col min="6659" max="6659" width="53" style="53" customWidth="1"/>
    <col min="6660" max="6660" width="12.7109375" style="53" customWidth="1"/>
    <col min="6661" max="6662" width="10.7109375" style="53" customWidth="1"/>
    <col min="6663" max="6669" width="12.7109375" style="53" customWidth="1"/>
    <col min="6670" max="6912" width="9.140625" style="53"/>
    <col min="6913" max="6913" width="5.7109375" style="53" customWidth="1"/>
    <col min="6914" max="6914" width="16.7109375" style="53" customWidth="1"/>
    <col min="6915" max="6915" width="53" style="53" customWidth="1"/>
    <col min="6916" max="6916" width="12.7109375" style="53" customWidth="1"/>
    <col min="6917" max="6918" width="10.7109375" style="53" customWidth="1"/>
    <col min="6919" max="6925" width="12.7109375" style="53" customWidth="1"/>
    <col min="6926" max="7168" width="9.140625" style="53"/>
    <col min="7169" max="7169" width="5.7109375" style="53" customWidth="1"/>
    <col min="7170" max="7170" width="16.7109375" style="53" customWidth="1"/>
    <col min="7171" max="7171" width="53" style="53" customWidth="1"/>
    <col min="7172" max="7172" width="12.7109375" style="53" customWidth="1"/>
    <col min="7173" max="7174" width="10.7109375" style="53" customWidth="1"/>
    <col min="7175" max="7181" width="12.7109375" style="53" customWidth="1"/>
    <col min="7182" max="7424" width="9.140625" style="53"/>
    <col min="7425" max="7425" width="5.7109375" style="53" customWidth="1"/>
    <col min="7426" max="7426" width="16.7109375" style="53" customWidth="1"/>
    <col min="7427" max="7427" width="53" style="53" customWidth="1"/>
    <col min="7428" max="7428" width="12.7109375" style="53" customWidth="1"/>
    <col min="7429" max="7430" width="10.7109375" style="53" customWidth="1"/>
    <col min="7431" max="7437" width="12.7109375" style="53" customWidth="1"/>
    <col min="7438" max="7680" width="9.140625" style="53"/>
    <col min="7681" max="7681" width="5.7109375" style="53" customWidth="1"/>
    <col min="7682" max="7682" width="16.7109375" style="53" customWidth="1"/>
    <col min="7683" max="7683" width="53" style="53" customWidth="1"/>
    <col min="7684" max="7684" width="12.7109375" style="53" customWidth="1"/>
    <col min="7685" max="7686" width="10.7109375" style="53" customWidth="1"/>
    <col min="7687" max="7693" width="12.7109375" style="53" customWidth="1"/>
    <col min="7694" max="7936" width="9.140625" style="53"/>
    <col min="7937" max="7937" width="5.7109375" style="53" customWidth="1"/>
    <col min="7938" max="7938" width="16.7109375" style="53" customWidth="1"/>
    <col min="7939" max="7939" width="53" style="53" customWidth="1"/>
    <col min="7940" max="7940" width="12.7109375" style="53" customWidth="1"/>
    <col min="7941" max="7942" width="10.7109375" style="53" customWidth="1"/>
    <col min="7943" max="7949" width="12.7109375" style="53" customWidth="1"/>
    <col min="7950" max="8192" width="9.140625" style="53"/>
    <col min="8193" max="8193" width="5.7109375" style="53" customWidth="1"/>
    <col min="8194" max="8194" width="16.7109375" style="53" customWidth="1"/>
    <col min="8195" max="8195" width="53" style="53" customWidth="1"/>
    <col min="8196" max="8196" width="12.7109375" style="53" customWidth="1"/>
    <col min="8197" max="8198" width="10.7109375" style="53" customWidth="1"/>
    <col min="8199" max="8205" width="12.7109375" style="53" customWidth="1"/>
    <col min="8206" max="8448" width="9.140625" style="53"/>
    <col min="8449" max="8449" width="5.7109375" style="53" customWidth="1"/>
    <col min="8450" max="8450" width="16.7109375" style="53" customWidth="1"/>
    <col min="8451" max="8451" width="53" style="53" customWidth="1"/>
    <col min="8452" max="8452" width="12.7109375" style="53" customWidth="1"/>
    <col min="8453" max="8454" width="10.7109375" style="53" customWidth="1"/>
    <col min="8455" max="8461" width="12.7109375" style="53" customWidth="1"/>
    <col min="8462" max="8704" width="9.140625" style="53"/>
    <col min="8705" max="8705" width="5.7109375" style="53" customWidth="1"/>
    <col min="8706" max="8706" width="16.7109375" style="53" customWidth="1"/>
    <col min="8707" max="8707" width="53" style="53" customWidth="1"/>
    <col min="8708" max="8708" width="12.7109375" style="53" customWidth="1"/>
    <col min="8709" max="8710" width="10.7109375" style="53" customWidth="1"/>
    <col min="8711" max="8717" width="12.7109375" style="53" customWidth="1"/>
    <col min="8718" max="8960" width="9.140625" style="53"/>
    <col min="8961" max="8961" width="5.7109375" style="53" customWidth="1"/>
    <col min="8962" max="8962" width="16.7109375" style="53" customWidth="1"/>
    <col min="8963" max="8963" width="53" style="53" customWidth="1"/>
    <col min="8964" max="8964" width="12.7109375" style="53" customWidth="1"/>
    <col min="8965" max="8966" width="10.7109375" style="53" customWidth="1"/>
    <col min="8967" max="8973" width="12.7109375" style="53" customWidth="1"/>
    <col min="8974" max="9216" width="9.140625" style="53"/>
    <col min="9217" max="9217" width="5.7109375" style="53" customWidth="1"/>
    <col min="9218" max="9218" width="16.7109375" style="53" customWidth="1"/>
    <col min="9219" max="9219" width="53" style="53" customWidth="1"/>
    <col min="9220" max="9220" width="12.7109375" style="53" customWidth="1"/>
    <col min="9221" max="9222" width="10.7109375" style="53" customWidth="1"/>
    <col min="9223" max="9229" width="12.7109375" style="53" customWidth="1"/>
    <col min="9230" max="9472" width="9.140625" style="53"/>
    <col min="9473" max="9473" width="5.7109375" style="53" customWidth="1"/>
    <col min="9474" max="9474" width="16.7109375" style="53" customWidth="1"/>
    <col min="9475" max="9475" width="53" style="53" customWidth="1"/>
    <col min="9476" max="9476" width="12.7109375" style="53" customWidth="1"/>
    <col min="9477" max="9478" width="10.7109375" style="53" customWidth="1"/>
    <col min="9479" max="9485" width="12.7109375" style="53" customWidth="1"/>
    <col min="9486" max="9728" width="9.140625" style="53"/>
    <col min="9729" max="9729" width="5.7109375" style="53" customWidth="1"/>
    <col min="9730" max="9730" width="16.7109375" style="53" customWidth="1"/>
    <col min="9731" max="9731" width="53" style="53" customWidth="1"/>
    <col min="9732" max="9732" width="12.7109375" style="53" customWidth="1"/>
    <col min="9733" max="9734" width="10.7109375" style="53" customWidth="1"/>
    <col min="9735" max="9741" width="12.7109375" style="53" customWidth="1"/>
    <col min="9742" max="9984" width="9.140625" style="53"/>
    <col min="9985" max="9985" width="5.7109375" style="53" customWidth="1"/>
    <col min="9986" max="9986" width="16.7109375" style="53" customWidth="1"/>
    <col min="9987" max="9987" width="53" style="53" customWidth="1"/>
    <col min="9988" max="9988" width="12.7109375" style="53" customWidth="1"/>
    <col min="9989" max="9990" width="10.7109375" style="53" customWidth="1"/>
    <col min="9991" max="9997" width="12.7109375" style="53" customWidth="1"/>
    <col min="9998" max="10240" width="9.140625" style="53"/>
    <col min="10241" max="10241" width="5.7109375" style="53" customWidth="1"/>
    <col min="10242" max="10242" width="16.7109375" style="53" customWidth="1"/>
    <col min="10243" max="10243" width="53" style="53" customWidth="1"/>
    <col min="10244" max="10244" width="12.7109375" style="53" customWidth="1"/>
    <col min="10245" max="10246" width="10.7109375" style="53" customWidth="1"/>
    <col min="10247" max="10253" width="12.7109375" style="53" customWidth="1"/>
    <col min="10254" max="10496" width="9.140625" style="53"/>
    <col min="10497" max="10497" width="5.7109375" style="53" customWidth="1"/>
    <col min="10498" max="10498" width="16.7109375" style="53" customWidth="1"/>
    <col min="10499" max="10499" width="53" style="53" customWidth="1"/>
    <col min="10500" max="10500" width="12.7109375" style="53" customWidth="1"/>
    <col min="10501" max="10502" width="10.7109375" style="53" customWidth="1"/>
    <col min="10503" max="10509" width="12.7109375" style="53" customWidth="1"/>
    <col min="10510" max="10752" width="9.140625" style="53"/>
    <col min="10753" max="10753" width="5.7109375" style="53" customWidth="1"/>
    <col min="10754" max="10754" width="16.7109375" style="53" customWidth="1"/>
    <col min="10755" max="10755" width="53" style="53" customWidth="1"/>
    <col min="10756" max="10756" width="12.7109375" style="53" customWidth="1"/>
    <col min="10757" max="10758" width="10.7109375" style="53" customWidth="1"/>
    <col min="10759" max="10765" width="12.7109375" style="53" customWidth="1"/>
    <col min="10766" max="11008" width="9.140625" style="53"/>
    <col min="11009" max="11009" width="5.7109375" style="53" customWidth="1"/>
    <col min="11010" max="11010" width="16.7109375" style="53" customWidth="1"/>
    <col min="11011" max="11011" width="53" style="53" customWidth="1"/>
    <col min="11012" max="11012" width="12.7109375" style="53" customWidth="1"/>
    <col min="11013" max="11014" width="10.7109375" style="53" customWidth="1"/>
    <col min="11015" max="11021" width="12.7109375" style="53" customWidth="1"/>
    <col min="11022" max="11264" width="9.140625" style="53"/>
    <col min="11265" max="11265" width="5.7109375" style="53" customWidth="1"/>
    <col min="11266" max="11266" width="16.7109375" style="53" customWidth="1"/>
    <col min="11267" max="11267" width="53" style="53" customWidth="1"/>
    <col min="11268" max="11268" width="12.7109375" style="53" customWidth="1"/>
    <col min="11269" max="11270" width="10.7109375" style="53" customWidth="1"/>
    <col min="11271" max="11277" width="12.7109375" style="53" customWidth="1"/>
    <col min="11278" max="11520" width="9.140625" style="53"/>
    <col min="11521" max="11521" width="5.7109375" style="53" customWidth="1"/>
    <col min="11522" max="11522" width="16.7109375" style="53" customWidth="1"/>
    <col min="11523" max="11523" width="53" style="53" customWidth="1"/>
    <col min="11524" max="11524" width="12.7109375" style="53" customWidth="1"/>
    <col min="11525" max="11526" width="10.7109375" style="53" customWidth="1"/>
    <col min="11527" max="11533" width="12.7109375" style="53" customWidth="1"/>
    <col min="11534" max="11776" width="9.140625" style="53"/>
    <col min="11777" max="11777" width="5.7109375" style="53" customWidth="1"/>
    <col min="11778" max="11778" width="16.7109375" style="53" customWidth="1"/>
    <col min="11779" max="11779" width="53" style="53" customWidth="1"/>
    <col min="11780" max="11780" width="12.7109375" style="53" customWidth="1"/>
    <col min="11781" max="11782" width="10.7109375" style="53" customWidth="1"/>
    <col min="11783" max="11789" width="12.7109375" style="53" customWidth="1"/>
    <col min="11790" max="12032" width="9.140625" style="53"/>
    <col min="12033" max="12033" width="5.7109375" style="53" customWidth="1"/>
    <col min="12034" max="12034" width="16.7109375" style="53" customWidth="1"/>
    <col min="12035" max="12035" width="53" style="53" customWidth="1"/>
    <col min="12036" max="12036" width="12.7109375" style="53" customWidth="1"/>
    <col min="12037" max="12038" width="10.7109375" style="53" customWidth="1"/>
    <col min="12039" max="12045" width="12.7109375" style="53" customWidth="1"/>
    <col min="12046" max="12288" width="9.140625" style="53"/>
    <col min="12289" max="12289" width="5.7109375" style="53" customWidth="1"/>
    <col min="12290" max="12290" width="16.7109375" style="53" customWidth="1"/>
    <col min="12291" max="12291" width="53" style="53" customWidth="1"/>
    <col min="12292" max="12292" width="12.7109375" style="53" customWidth="1"/>
    <col min="12293" max="12294" width="10.7109375" style="53" customWidth="1"/>
    <col min="12295" max="12301" width="12.7109375" style="53" customWidth="1"/>
    <col min="12302" max="12544" width="9.140625" style="53"/>
    <col min="12545" max="12545" width="5.7109375" style="53" customWidth="1"/>
    <col min="12546" max="12546" width="16.7109375" style="53" customWidth="1"/>
    <col min="12547" max="12547" width="53" style="53" customWidth="1"/>
    <col min="12548" max="12548" width="12.7109375" style="53" customWidth="1"/>
    <col min="12549" max="12550" width="10.7109375" style="53" customWidth="1"/>
    <col min="12551" max="12557" width="12.7109375" style="53" customWidth="1"/>
    <col min="12558" max="12800" width="9.140625" style="53"/>
    <col min="12801" max="12801" width="5.7109375" style="53" customWidth="1"/>
    <col min="12802" max="12802" width="16.7109375" style="53" customWidth="1"/>
    <col min="12803" max="12803" width="53" style="53" customWidth="1"/>
    <col min="12804" max="12804" width="12.7109375" style="53" customWidth="1"/>
    <col min="12805" max="12806" width="10.7109375" style="53" customWidth="1"/>
    <col min="12807" max="12813" width="12.7109375" style="53" customWidth="1"/>
    <col min="12814" max="13056" width="9.140625" style="53"/>
    <col min="13057" max="13057" width="5.7109375" style="53" customWidth="1"/>
    <col min="13058" max="13058" width="16.7109375" style="53" customWidth="1"/>
    <col min="13059" max="13059" width="53" style="53" customWidth="1"/>
    <col min="13060" max="13060" width="12.7109375" style="53" customWidth="1"/>
    <col min="13061" max="13062" width="10.7109375" style="53" customWidth="1"/>
    <col min="13063" max="13069" width="12.7109375" style="53" customWidth="1"/>
    <col min="13070" max="13312" width="9.140625" style="53"/>
    <col min="13313" max="13313" width="5.7109375" style="53" customWidth="1"/>
    <col min="13314" max="13314" width="16.7109375" style="53" customWidth="1"/>
    <col min="13315" max="13315" width="53" style="53" customWidth="1"/>
    <col min="13316" max="13316" width="12.7109375" style="53" customWidth="1"/>
    <col min="13317" max="13318" width="10.7109375" style="53" customWidth="1"/>
    <col min="13319" max="13325" width="12.7109375" style="53" customWidth="1"/>
    <col min="13326" max="13568" width="9.140625" style="53"/>
    <col min="13569" max="13569" width="5.7109375" style="53" customWidth="1"/>
    <col min="13570" max="13570" width="16.7109375" style="53" customWidth="1"/>
    <col min="13571" max="13571" width="53" style="53" customWidth="1"/>
    <col min="13572" max="13572" width="12.7109375" style="53" customWidth="1"/>
    <col min="13573" max="13574" width="10.7109375" style="53" customWidth="1"/>
    <col min="13575" max="13581" width="12.7109375" style="53" customWidth="1"/>
    <col min="13582" max="13824" width="9.140625" style="53"/>
    <col min="13825" max="13825" width="5.7109375" style="53" customWidth="1"/>
    <col min="13826" max="13826" width="16.7109375" style="53" customWidth="1"/>
    <col min="13827" max="13827" width="53" style="53" customWidth="1"/>
    <col min="13828" max="13828" width="12.7109375" style="53" customWidth="1"/>
    <col min="13829" max="13830" width="10.7109375" style="53" customWidth="1"/>
    <col min="13831" max="13837" width="12.7109375" style="53" customWidth="1"/>
    <col min="13838" max="14080" width="9.140625" style="53"/>
    <col min="14081" max="14081" width="5.7109375" style="53" customWidth="1"/>
    <col min="14082" max="14082" width="16.7109375" style="53" customWidth="1"/>
    <col min="14083" max="14083" width="53" style="53" customWidth="1"/>
    <col min="14084" max="14084" width="12.7109375" style="53" customWidth="1"/>
    <col min="14085" max="14086" width="10.7109375" style="53" customWidth="1"/>
    <col min="14087" max="14093" width="12.7109375" style="53" customWidth="1"/>
    <col min="14094" max="14336" width="9.140625" style="53"/>
    <col min="14337" max="14337" width="5.7109375" style="53" customWidth="1"/>
    <col min="14338" max="14338" width="16.7109375" style="53" customWidth="1"/>
    <col min="14339" max="14339" width="53" style="53" customWidth="1"/>
    <col min="14340" max="14340" width="12.7109375" style="53" customWidth="1"/>
    <col min="14341" max="14342" width="10.7109375" style="53" customWidth="1"/>
    <col min="14343" max="14349" width="12.7109375" style="53" customWidth="1"/>
    <col min="14350" max="14592" width="9.140625" style="53"/>
    <col min="14593" max="14593" width="5.7109375" style="53" customWidth="1"/>
    <col min="14594" max="14594" width="16.7109375" style="53" customWidth="1"/>
    <col min="14595" max="14595" width="53" style="53" customWidth="1"/>
    <col min="14596" max="14596" width="12.7109375" style="53" customWidth="1"/>
    <col min="14597" max="14598" width="10.7109375" style="53" customWidth="1"/>
    <col min="14599" max="14605" width="12.7109375" style="53" customWidth="1"/>
    <col min="14606" max="14848" width="9.140625" style="53"/>
    <col min="14849" max="14849" width="5.7109375" style="53" customWidth="1"/>
    <col min="14850" max="14850" width="16.7109375" style="53" customWidth="1"/>
    <col min="14851" max="14851" width="53" style="53" customWidth="1"/>
    <col min="14852" max="14852" width="12.7109375" style="53" customWidth="1"/>
    <col min="14853" max="14854" width="10.7109375" style="53" customWidth="1"/>
    <col min="14855" max="14861" width="12.7109375" style="53" customWidth="1"/>
    <col min="14862" max="15104" width="9.140625" style="53"/>
    <col min="15105" max="15105" width="5.7109375" style="53" customWidth="1"/>
    <col min="15106" max="15106" width="16.7109375" style="53" customWidth="1"/>
    <col min="15107" max="15107" width="53" style="53" customWidth="1"/>
    <col min="15108" max="15108" width="12.7109375" style="53" customWidth="1"/>
    <col min="15109" max="15110" width="10.7109375" style="53" customWidth="1"/>
    <col min="15111" max="15117" width="12.7109375" style="53" customWidth="1"/>
    <col min="15118" max="15360" width="9.140625" style="53"/>
    <col min="15361" max="15361" width="5.7109375" style="53" customWidth="1"/>
    <col min="15362" max="15362" width="16.7109375" style="53" customWidth="1"/>
    <col min="15363" max="15363" width="53" style="53" customWidth="1"/>
    <col min="15364" max="15364" width="12.7109375" style="53" customWidth="1"/>
    <col min="15365" max="15366" width="10.7109375" style="53" customWidth="1"/>
    <col min="15367" max="15373" width="12.7109375" style="53" customWidth="1"/>
    <col min="15374" max="15616" width="9.140625" style="53"/>
    <col min="15617" max="15617" width="5.7109375" style="53" customWidth="1"/>
    <col min="15618" max="15618" width="16.7109375" style="53" customWidth="1"/>
    <col min="15619" max="15619" width="53" style="53" customWidth="1"/>
    <col min="15620" max="15620" width="12.7109375" style="53" customWidth="1"/>
    <col min="15621" max="15622" width="10.7109375" style="53" customWidth="1"/>
    <col min="15623" max="15629" width="12.7109375" style="53" customWidth="1"/>
    <col min="15630" max="15872" width="9.140625" style="53"/>
    <col min="15873" max="15873" width="5.7109375" style="53" customWidth="1"/>
    <col min="15874" max="15874" width="16.7109375" style="53" customWidth="1"/>
    <col min="15875" max="15875" width="53" style="53" customWidth="1"/>
    <col min="15876" max="15876" width="12.7109375" style="53" customWidth="1"/>
    <col min="15877" max="15878" width="10.7109375" style="53" customWidth="1"/>
    <col min="15879" max="15885" width="12.7109375" style="53" customWidth="1"/>
    <col min="15886" max="16128" width="9.140625" style="53"/>
    <col min="16129" max="16129" width="5.7109375" style="53" customWidth="1"/>
    <col min="16130" max="16130" width="16.7109375" style="53" customWidth="1"/>
    <col min="16131" max="16131" width="53" style="53" customWidth="1"/>
    <col min="16132" max="16132" width="12.7109375" style="53" customWidth="1"/>
    <col min="16133" max="16134" width="10.7109375" style="53" customWidth="1"/>
    <col min="16135" max="16141" width="12.7109375" style="53" customWidth="1"/>
    <col min="16142" max="16384" width="9.140625" style="53"/>
  </cols>
  <sheetData>
    <row r="1" spans="1:13" s="43" customFormat="1">
      <c r="M1" s="44" t="s">
        <v>92</v>
      </c>
    </row>
    <row r="2" spans="1:13" s="43" customFormat="1">
      <c r="A2" s="45"/>
      <c r="B2" s="45"/>
      <c r="C2" s="46"/>
      <c r="D2" s="46"/>
      <c r="E2" s="46"/>
      <c r="F2" s="45"/>
      <c r="G2" s="45"/>
      <c r="H2" s="46"/>
      <c r="I2" s="46"/>
      <c r="J2" s="46"/>
      <c r="K2" s="46"/>
      <c r="L2" s="46"/>
      <c r="M2" s="46"/>
    </row>
    <row r="3" spans="1:13" s="43" customFormat="1" ht="25.5" customHeight="1">
      <c r="A3" s="47" t="s">
        <v>93</v>
      </c>
      <c r="B3" s="47"/>
      <c r="C3" s="272" t="s">
        <v>94</v>
      </c>
      <c r="D3" s="272"/>
      <c r="E3" s="272"/>
      <c r="F3" s="272"/>
      <c r="G3" s="272"/>
      <c r="H3" s="272"/>
      <c r="I3" s="272"/>
      <c r="J3" s="272"/>
      <c r="K3" s="272"/>
      <c r="L3" s="272"/>
      <c r="M3" s="272"/>
    </row>
    <row r="4" spans="1:13" s="43" customFormat="1">
      <c r="A4" s="48" t="s">
        <v>95</v>
      </c>
      <c r="B4" s="48"/>
      <c r="C4" s="290" t="s">
        <v>96</v>
      </c>
      <c r="D4" s="290"/>
      <c r="E4" s="290"/>
      <c r="F4" s="290"/>
      <c r="G4" s="290"/>
      <c r="H4" s="290"/>
      <c r="I4" s="290"/>
      <c r="J4" s="290"/>
      <c r="K4" s="290"/>
      <c r="L4" s="290"/>
      <c r="M4" s="290"/>
    </row>
    <row r="5" spans="1:13" s="43" customFormat="1">
      <c r="A5" s="47" t="s">
        <v>97</v>
      </c>
      <c r="B5" s="47"/>
      <c r="C5" s="272" t="s">
        <v>98</v>
      </c>
      <c r="D5" s="272"/>
      <c r="E5" s="272"/>
      <c r="F5" s="272"/>
      <c r="G5" s="272"/>
      <c r="H5" s="272"/>
      <c r="I5" s="272"/>
      <c r="J5" s="272"/>
      <c r="K5" s="272"/>
      <c r="L5" s="272"/>
      <c r="M5" s="272"/>
    </row>
    <row r="6" spans="1:13" s="43" customFormat="1">
      <c r="A6" s="48" t="s">
        <v>99</v>
      </c>
      <c r="B6" s="48"/>
      <c r="C6" s="290" t="s">
        <v>100</v>
      </c>
      <c r="D6" s="290"/>
      <c r="E6" s="290"/>
      <c r="F6" s="290"/>
      <c r="G6" s="290"/>
      <c r="H6" s="290"/>
      <c r="I6" s="290"/>
      <c r="J6" s="290"/>
      <c r="K6" s="290"/>
      <c r="L6" s="290"/>
      <c r="M6" s="290"/>
    </row>
    <row r="7" spans="1:13" s="43" customFormat="1" ht="10.5" customHeight="1">
      <c r="C7" s="49"/>
      <c r="D7" s="49"/>
      <c r="E7" s="49"/>
    </row>
    <row r="8" spans="1:13" s="43" customFormat="1" ht="18.75">
      <c r="C8" s="291" t="s">
        <v>101</v>
      </c>
      <c r="D8" s="291"/>
      <c r="E8" s="291"/>
      <c r="F8" s="291"/>
      <c r="G8" s="291"/>
      <c r="H8" s="292" t="s">
        <v>2</v>
      </c>
      <c r="I8" s="292"/>
      <c r="J8" s="292"/>
      <c r="K8" s="292"/>
      <c r="L8" s="292"/>
      <c r="M8" s="292"/>
    </row>
    <row r="9" spans="1:13" s="43" customFormat="1" ht="19.5" customHeight="1">
      <c r="C9" s="269" t="s">
        <v>102</v>
      </c>
      <c r="D9" s="269"/>
      <c r="E9" s="269"/>
      <c r="F9" s="269"/>
      <c r="G9" s="269"/>
      <c r="H9" s="269"/>
      <c r="I9" s="269"/>
      <c r="J9" s="269"/>
      <c r="K9" s="269"/>
      <c r="L9" s="50"/>
    </row>
    <row r="10" spans="1:13" s="43" customFormat="1" ht="12" customHeight="1">
      <c r="C10" s="49"/>
      <c r="D10" s="49"/>
      <c r="E10" s="49"/>
    </row>
    <row r="11" spans="1:13" s="43" customFormat="1" ht="15">
      <c r="B11" s="51" t="s">
        <v>103</v>
      </c>
      <c r="C11" s="270" t="s">
        <v>104</v>
      </c>
      <c r="D11" s="270"/>
      <c r="E11" s="270"/>
      <c r="F11" s="270"/>
      <c r="G11" s="270"/>
      <c r="H11" s="270"/>
      <c r="I11" s="270"/>
      <c r="J11" s="270"/>
      <c r="K11" s="270"/>
      <c r="L11" s="270"/>
      <c r="M11" s="270"/>
    </row>
    <row r="12" spans="1:13" s="43" customFormat="1" ht="15">
      <c r="B12" s="51"/>
      <c r="C12" s="271" t="s">
        <v>105</v>
      </c>
      <c r="D12" s="271"/>
      <c r="E12" s="271"/>
      <c r="F12" s="271"/>
      <c r="G12" s="271"/>
      <c r="H12" s="271"/>
      <c r="I12" s="271"/>
      <c r="J12" s="271"/>
      <c r="K12" s="271"/>
      <c r="L12" s="271"/>
    </row>
    <row r="13" spans="1:13" s="43" customFormat="1"/>
    <row r="14" spans="1:13" s="43" customFormat="1">
      <c r="A14" s="47" t="s">
        <v>106</v>
      </c>
      <c r="B14" s="47"/>
      <c r="C14" s="272" t="s">
        <v>107</v>
      </c>
      <c r="D14" s="272"/>
      <c r="E14" s="272"/>
      <c r="F14" s="272"/>
      <c r="G14" s="272"/>
      <c r="H14" s="272"/>
      <c r="I14" s="272"/>
      <c r="J14" s="272"/>
      <c r="K14" s="272"/>
      <c r="L14" s="272"/>
      <c r="M14" s="272"/>
    </row>
    <row r="15" spans="1:13">
      <c r="A15" s="52"/>
      <c r="B15" s="52"/>
      <c r="C15" s="52"/>
      <c r="F15" s="54" t="s">
        <v>11</v>
      </c>
      <c r="G15" s="54"/>
      <c r="H15" s="54"/>
      <c r="I15" s="54"/>
      <c r="J15" s="54"/>
      <c r="K15" s="55"/>
      <c r="L15" s="56" t="s">
        <v>108</v>
      </c>
      <c r="M15" s="56" t="s">
        <v>109</v>
      </c>
    </row>
    <row r="16" spans="1:13">
      <c r="A16" s="52"/>
      <c r="B16" s="52"/>
      <c r="C16" s="52"/>
      <c r="F16" s="54" t="s">
        <v>110</v>
      </c>
      <c r="G16" s="54"/>
      <c r="H16" s="54"/>
      <c r="I16" s="54"/>
      <c r="J16" s="54"/>
      <c r="K16" s="55"/>
      <c r="L16" s="56" t="s">
        <v>111</v>
      </c>
      <c r="M16" s="56" t="s">
        <v>109</v>
      </c>
    </row>
    <row r="17" spans="1:14">
      <c r="A17" s="52"/>
      <c r="B17" s="52"/>
      <c r="C17" s="52"/>
      <c r="F17" s="54" t="s">
        <v>112</v>
      </c>
      <c r="G17" s="54"/>
      <c r="H17" s="54"/>
      <c r="I17" s="54"/>
      <c r="J17" s="54"/>
      <c r="K17" s="55"/>
      <c r="L17" s="56" t="s">
        <v>113</v>
      </c>
      <c r="M17" s="56" t="s">
        <v>114</v>
      </c>
    </row>
    <row r="18" spans="1:14" s="43" customFormat="1" ht="16.5" customHeight="1">
      <c r="A18" s="273" t="s">
        <v>115</v>
      </c>
      <c r="B18" s="273"/>
      <c r="C18" s="273"/>
      <c r="D18" s="273"/>
      <c r="E18" s="273"/>
      <c r="F18" s="273"/>
      <c r="G18" s="273"/>
      <c r="H18" s="273"/>
      <c r="I18" s="273"/>
      <c r="J18" s="273"/>
      <c r="K18" s="273"/>
      <c r="L18" s="44"/>
    </row>
    <row r="19" spans="1:14" s="57" customFormat="1" ht="24" customHeight="1">
      <c r="A19" s="274" t="s">
        <v>116</v>
      </c>
      <c r="B19" s="274" t="s">
        <v>117</v>
      </c>
      <c r="C19" s="274" t="s">
        <v>118</v>
      </c>
      <c r="D19" s="274" t="s">
        <v>119</v>
      </c>
      <c r="E19" s="277" t="s">
        <v>120</v>
      </c>
      <c r="F19" s="278"/>
      <c r="G19" s="281" t="s">
        <v>121</v>
      </c>
      <c r="H19" s="282"/>
      <c r="I19" s="281" t="s">
        <v>122</v>
      </c>
      <c r="J19" s="283"/>
      <c r="K19" s="284"/>
      <c r="L19" s="274" t="s">
        <v>123</v>
      </c>
      <c r="M19" s="285" t="s">
        <v>124</v>
      </c>
    </row>
    <row r="20" spans="1:14" s="57" customFormat="1" ht="24" customHeight="1">
      <c r="A20" s="275"/>
      <c r="B20" s="275"/>
      <c r="C20" s="275"/>
      <c r="D20" s="275"/>
      <c r="E20" s="279"/>
      <c r="F20" s="280"/>
      <c r="G20" s="58" t="s">
        <v>20</v>
      </c>
      <c r="H20" s="58" t="s">
        <v>125</v>
      </c>
      <c r="I20" s="58" t="s">
        <v>20</v>
      </c>
      <c r="J20" s="58" t="s">
        <v>125</v>
      </c>
      <c r="K20" s="58" t="s">
        <v>126</v>
      </c>
      <c r="L20" s="276"/>
      <c r="M20" s="286"/>
    </row>
    <row r="21" spans="1:14" s="57" customFormat="1" ht="39.950000000000003" customHeight="1">
      <c r="A21" s="276"/>
      <c r="B21" s="276"/>
      <c r="C21" s="276"/>
      <c r="D21" s="276"/>
      <c r="E21" s="59" t="s">
        <v>127</v>
      </c>
      <c r="F21" s="58" t="s">
        <v>128</v>
      </c>
      <c r="G21" s="58" t="s">
        <v>129</v>
      </c>
      <c r="H21" s="58" t="s">
        <v>130</v>
      </c>
      <c r="I21" s="58" t="s">
        <v>129</v>
      </c>
      <c r="J21" s="58" t="s">
        <v>130</v>
      </c>
      <c r="K21" s="58" t="s">
        <v>131</v>
      </c>
      <c r="L21" s="58" t="s">
        <v>132</v>
      </c>
      <c r="M21" s="287"/>
    </row>
    <row r="22" spans="1:14">
      <c r="A22" s="60">
        <v>1</v>
      </c>
      <c r="B22" s="61">
        <v>2</v>
      </c>
      <c r="C22" s="61">
        <v>3</v>
      </c>
      <c r="D22" s="61">
        <v>4</v>
      </c>
      <c r="E22" s="288">
        <v>5</v>
      </c>
      <c r="F22" s="289"/>
      <c r="G22" s="61">
        <v>6</v>
      </c>
      <c r="H22" s="61">
        <v>7</v>
      </c>
      <c r="I22" s="61">
        <v>8</v>
      </c>
      <c r="J22" s="61">
        <v>9</v>
      </c>
      <c r="K22" s="61">
        <v>10</v>
      </c>
      <c r="L22" s="61">
        <v>11</v>
      </c>
      <c r="M22" s="61">
        <v>12</v>
      </c>
    </row>
    <row r="23" spans="1:14">
      <c r="A23" s="266"/>
      <c r="B23" s="267"/>
      <c r="C23" s="267"/>
      <c r="D23" s="267"/>
      <c r="E23" s="267"/>
      <c r="F23" s="267"/>
      <c r="G23" s="267"/>
      <c r="H23" s="267"/>
      <c r="I23" s="267"/>
      <c r="J23" s="267"/>
      <c r="K23" s="267"/>
      <c r="L23" s="267"/>
      <c r="M23" s="268"/>
    </row>
    <row r="24" spans="1:14" s="43" customFormat="1" ht="156.19999999999999" customHeight="1">
      <c r="A24" s="62"/>
      <c r="B24" s="63"/>
      <c r="C24" s="63"/>
      <c r="D24" s="63"/>
      <c r="E24" s="63"/>
      <c r="F24" s="264" t="s">
        <v>133</v>
      </c>
      <c r="G24" s="264"/>
      <c r="H24" s="264"/>
      <c r="I24" s="264"/>
      <c r="J24" s="264"/>
      <c r="K24" s="264"/>
      <c r="L24" s="63"/>
      <c r="M24" s="64"/>
    </row>
    <row r="25" spans="1:14" s="43" customFormat="1" ht="12.75" customHeight="1">
      <c r="A25" s="62"/>
      <c r="B25" s="63"/>
      <c r="C25" s="264" t="s">
        <v>134</v>
      </c>
      <c r="D25" s="264"/>
      <c r="E25" s="63"/>
      <c r="F25" s="63"/>
      <c r="G25" s="63"/>
      <c r="H25" s="63"/>
      <c r="I25" s="63"/>
      <c r="J25" s="63"/>
      <c r="K25" s="63"/>
      <c r="L25" s="63"/>
      <c r="M25" s="64"/>
    </row>
    <row r="26" spans="1:14" s="74" customFormat="1" ht="48">
      <c r="A26" s="65" t="s">
        <v>21</v>
      </c>
      <c r="B26" s="66" t="s">
        <v>135</v>
      </c>
      <c r="C26" s="67" t="s">
        <v>136</v>
      </c>
      <c r="D26" s="68" t="s">
        <v>137</v>
      </c>
      <c r="E26" s="69"/>
      <c r="F26" s="70">
        <v>0.46799999999999997</v>
      </c>
      <c r="G26" s="71">
        <v>458904</v>
      </c>
      <c r="H26" s="71">
        <v>47489</v>
      </c>
      <c r="I26" s="72">
        <f t="shared" ref="I26" si="0">G26*F26</f>
        <v>214767.07199999999</v>
      </c>
      <c r="J26" s="72">
        <f t="shared" ref="J26" si="1">H26*F26</f>
        <v>22224.851999999999</v>
      </c>
      <c r="K26" s="72">
        <f t="shared" ref="K26" si="2">I26-I27-J26</f>
        <v>3705.6239999999962</v>
      </c>
      <c r="L26" s="72">
        <f t="shared" ref="L26" si="3">(I27+J27)*E26</f>
        <v>0</v>
      </c>
      <c r="M26" s="73">
        <f t="shared" ref="M26" si="4">I26+L26+L27</f>
        <v>214767.07199999999</v>
      </c>
      <c r="N26" s="74">
        <f>F26/3</f>
        <v>0.156</v>
      </c>
    </row>
    <row r="27" spans="1:14" s="74" customFormat="1">
      <c r="A27" s="75"/>
      <c r="B27" s="76"/>
      <c r="C27" s="77"/>
      <c r="D27" s="78"/>
      <c r="E27" s="79"/>
      <c r="F27" s="78"/>
      <c r="G27" s="80">
        <v>403497</v>
      </c>
      <c r="H27" s="80">
        <v>13487</v>
      </c>
      <c r="I27" s="81">
        <f t="shared" ref="I27" si="5">G27*F26</f>
        <v>188836.59599999999</v>
      </c>
      <c r="J27" s="81">
        <f t="shared" ref="J27" si="6">H27*F26</f>
        <v>6311.9159999999993</v>
      </c>
      <c r="K27" s="81"/>
      <c r="L27" s="81"/>
      <c r="M27" s="81"/>
    </row>
    <row r="28" spans="1:14" s="43" customFormat="1" ht="21" hidden="1" outlineLevel="1">
      <c r="A28" s="82" t="s">
        <v>139</v>
      </c>
      <c r="B28" s="83" t="s">
        <v>140</v>
      </c>
      <c r="C28" s="84" t="s">
        <v>141</v>
      </c>
      <c r="D28" s="83" t="s">
        <v>142</v>
      </c>
      <c r="E28" s="85">
        <v>74.555999999999997</v>
      </c>
      <c r="F28" s="85">
        <v>34.892208000000004</v>
      </c>
      <c r="G28" s="86">
        <v>5412</v>
      </c>
      <c r="H28" s="87"/>
      <c r="I28" s="88">
        <v>566510</v>
      </c>
      <c r="J28" s="88"/>
      <c r="K28" s="88"/>
      <c r="L28" s="89"/>
      <c r="M28" s="89"/>
      <c r="N28" s="74">
        <f t="shared" ref="N28:N90" si="7">F28/3</f>
        <v>11.630736000000001</v>
      </c>
    </row>
    <row r="29" spans="1:14" s="43" customFormat="1" hidden="1" outlineLevel="1">
      <c r="A29" s="82" t="s">
        <v>143</v>
      </c>
      <c r="B29" s="83" t="s">
        <v>34</v>
      </c>
      <c r="C29" s="84" t="s">
        <v>144</v>
      </c>
      <c r="D29" s="83" t="s">
        <v>142</v>
      </c>
      <c r="E29" s="85">
        <v>4.08</v>
      </c>
      <c r="F29" s="85">
        <v>1.9094333333333333</v>
      </c>
      <c r="G29" s="89"/>
      <c r="H29" s="87"/>
      <c r="I29" s="88"/>
      <c r="J29" s="88"/>
      <c r="K29" s="88"/>
      <c r="L29" s="89"/>
      <c r="M29" s="89"/>
      <c r="N29" s="74">
        <f t="shared" si="7"/>
        <v>0.63647777777777781</v>
      </c>
    </row>
    <row r="30" spans="1:14" s="43" customFormat="1" hidden="1" outlineLevel="1">
      <c r="A30" s="90" t="s">
        <v>145</v>
      </c>
      <c r="B30" s="91" t="s">
        <v>146</v>
      </c>
      <c r="C30" s="92" t="s">
        <v>147</v>
      </c>
      <c r="D30" s="91" t="s">
        <v>148</v>
      </c>
      <c r="E30" s="93">
        <v>17.134799999999998</v>
      </c>
      <c r="F30" s="93">
        <v>8.0190863333333322</v>
      </c>
      <c r="G30" s="94"/>
      <c r="H30" s="95">
        <v>230</v>
      </c>
      <c r="I30" s="96"/>
      <c r="J30" s="96">
        <v>5533</v>
      </c>
      <c r="K30" s="96"/>
      <c r="L30" s="97"/>
      <c r="M30" s="97"/>
      <c r="N30" s="74">
        <f t="shared" si="7"/>
        <v>2.6730287777777773</v>
      </c>
    </row>
    <row r="31" spans="1:14" s="43" customFormat="1" ht="21" hidden="1" outlineLevel="1">
      <c r="A31" s="90" t="s">
        <v>149</v>
      </c>
      <c r="B31" s="91" t="s">
        <v>150</v>
      </c>
      <c r="C31" s="92" t="s">
        <v>151</v>
      </c>
      <c r="D31" s="91" t="s">
        <v>148</v>
      </c>
      <c r="E31" s="93">
        <v>2.0404800000000001</v>
      </c>
      <c r="F31" s="93">
        <v>0.95494466666666666</v>
      </c>
      <c r="G31" s="94"/>
      <c r="H31" s="95">
        <v>12979</v>
      </c>
      <c r="I31" s="96"/>
      <c r="J31" s="96">
        <v>37183</v>
      </c>
      <c r="K31" s="96"/>
      <c r="L31" s="97"/>
      <c r="M31" s="97"/>
      <c r="N31" s="74">
        <f t="shared" si="7"/>
        <v>0.31831488888888887</v>
      </c>
    </row>
    <row r="32" spans="1:14" s="43" customFormat="1" hidden="1" outlineLevel="2">
      <c r="A32" s="98" t="s">
        <v>149</v>
      </c>
      <c r="B32" s="99"/>
      <c r="C32" s="100" t="s">
        <v>152</v>
      </c>
      <c r="D32" s="101" t="s">
        <v>142</v>
      </c>
      <c r="E32" s="102">
        <v>2.0404800000000001</v>
      </c>
      <c r="F32" s="102">
        <v>0.95494466666666666</v>
      </c>
      <c r="G32" s="103"/>
      <c r="H32" s="102">
        <v>3888</v>
      </c>
      <c r="I32" s="104"/>
      <c r="J32" s="104">
        <v>11138.47</v>
      </c>
      <c r="K32" s="96"/>
      <c r="L32" s="97"/>
      <c r="M32" s="97"/>
      <c r="N32" s="74">
        <f t="shared" si="7"/>
        <v>0.31831488888888887</v>
      </c>
    </row>
    <row r="33" spans="1:14" s="43" customFormat="1" hidden="1" outlineLevel="1">
      <c r="A33" s="90" t="s">
        <v>153</v>
      </c>
      <c r="B33" s="91" t="s">
        <v>154</v>
      </c>
      <c r="C33" s="92" t="s">
        <v>155</v>
      </c>
      <c r="D33" s="91" t="s">
        <v>148</v>
      </c>
      <c r="E33" s="93">
        <v>2.0404800000000001</v>
      </c>
      <c r="F33" s="93">
        <v>0.95494466666666666</v>
      </c>
      <c r="G33" s="94"/>
      <c r="H33" s="95">
        <v>8363</v>
      </c>
      <c r="I33" s="96"/>
      <c r="J33" s="96">
        <v>23959</v>
      </c>
      <c r="K33" s="96"/>
      <c r="L33" s="97"/>
      <c r="M33" s="97"/>
      <c r="N33" s="74">
        <f t="shared" si="7"/>
        <v>0.31831488888888887</v>
      </c>
    </row>
    <row r="34" spans="1:14" s="43" customFormat="1" hidden="1" outlineLevel="2">
      <c r="A34" s="98" t="s">
        <v>153</v>
      </c>
      <c r="B34" s="99"/>
      <c r="C34" s="100" t="s">
        <v>152</v>
      </c>
      <c r="D34" s="101" t="s">
        <v>142</v>
      </c>
      <c r="E34" s="102">
        <v>2.0404800000000001</v>
      </c>
      <c r="F34" s="102">
        <v>0.95494466666666666</v>
      </c>
      <c r="G34" s="103"/>
      <c r="H34" s="102">
        <v>2722</v>
      </c>
      <c r="I34" s="104"/>
      <c r="J34" s="104">
        <v>7798.08</v>
      </c>
      <c r="K34" s="96"/>
      <c r="L34" s="97"/>
      <c r="M34" s="97"/>
      <c r="N34" s="74">
        <f t="shared" si="7"/>
        <v>0.31831488888888887</v>
      </c>
    </row>
    <row r="35" spans="1:14" s="43" customFormat="1" hidden="1" outlineLevel="1">
      <c r="A35" s="105" t="s">
        <v>156</v>
      </c>
      <c r="B35" s="106" t="s">
        <v>157</v>
      </c>
      <c r="C35" s="107" t="s">
        <v>158</v>
      </c>
      <c r="D35" s="106" t="s">
        <v>137</v>
      </c>
      <c r="E35" s="108">
        <v>2.5400000000000002E-3</v>
      </c>
      <c r="F35" s="108">
        <v>1.1886666666666666E-3</v>
      </c>
      <c r="G35" s="109">
        <v>1510113</v>
      </c>
      <c r="H35" s="110"/>
      <c r="I35" s="111"/>
      <c r="J35" s="111"/>
      <c r="K35" s="111">
        <v>5385</v>
      </c>
      <c r="L35" s="97"/>
      <c r="M35" s="97"/>
      <c r="N35" s="74">
        <f t="shared" si="7"/>
        <v>3.9622222222222223E-4</v>
      </c>
    </row>
    <row r="36" spans="1:14" s="43" customFormat="1" ht="21" hidden="1" outlineLevel="1">
      <c r="A36" s="105" t="s">
        <v>159</v>
      </c>
      <c r="B36" s="106" t="s">
        <v>160</v>
      </c>
      <c r="C36" s="107" t="s">
        <v>161</v>
      </c>
      <c r="D36" s="106" t="s">
        <v>162</v>
      </c>
      <c r="E36" s="108">
        <v>3.36</v>
      </c>
      <c r="F36" s="108">
        <v>1.5724799999999999</v>
      </c>
      <c r="G36" s="109">
        <v>1215</v>
      </c>
      <c r="H36" s="110"/>
      <c r="I36" s="111"/>
      <c r="J36" s="111"/>
      <c r="K36" s="111">
        <v>5732</v>
      </c>
      <c r="L36" s="97"/>
      <c r="M36" s="97"/>
      <c r="N36" s="74">
        <f t="shared" si="7"/>
        <v>0.52415999999999996</v>
      </c>
    </row>
    <row r="37" spans="1:14" s="74" customFormat="1" ht="36" collapsed="1">
      <c r="A37" s="65" t="s">
        <v>32</v>
      </c>
      <c r="B37" s="66" t="s">
        <v>163</v>
      </c>
      <c r="C37" s="241" t="s">
        <v>164</v>
      </c>
      <c r="D37" s="68" t="s">
        <v>165</v>
      </c>
      <c r="E37" s="69"/>
      <c r="F37" s="112">
        <v>208</v>
      </c>
      <c r="G37" s="71">
        <v>4532</v>
      </c>
      <c r="H37" s="113"/>
      <c r="I37" s="72">
        <f t="shared" ref="I37" si="8">G37*F37</f>
        <v>942656</v>
      </c>
      <c r="J37" s="72">
        <f t="shared" ref="J37" si="9">H37*F37</f>
        <v>0</v>
      </c>
      <c r="K37" s="72">
        <f t="shared" ref="K37" si="10">I37-I38-J37</f>
        <v>942656</v>
      </c>
      <c r="L37" s="72">
        <f t="shared" ref="L37" si="11">(I38+J38)*E37</f>
        <v>0</v>
      </c>
      <c r="M37" s="73">
        <f t="shared" ref="M37" si="12">I37+L37+L38</f>
        <v>942656</v>
      </c>
      <c r="N37" s="74">
        <f t="shared" si="7"/>
        <v>69.333333333333329</v>
      </c>
    </row>
    <row r="38" spans="1:14" s="74" customFormat="1">
      <c r="A38" s="75"/>
      <c r="B38" s="76"/>
      <c r="C38" s="77"/>
      <c r="D38" s="78"/>
      <c r="E38" s="79"/>
      <c r="F38" s="78"/>
      <c r="G38" s="114"/>
      <c r="H38" s="114"/>
      <c r="I38" s="81">
        <f t="shared" ref="I38" si="13">G38*F37</f>
        <v>0</v>
      </c>
      <c r="J38" s="81">
        <f t="shared" ref="J38" si="14">H38*F37</f>
        <v>0</v>
      </c>
      <c r="K38" s="81"/>
      <c r="L38" s="81"/>
      <c r="M38" s="81"/>
    </row>
    <row r="39" spans="1:14" s="74" customFormat="1" ht="48">
      <c r="A39" s="65" t="s">
        <v>34</v>
      </c>
      <c r="B39" s="66" t="s">
        <v>166</v>
      </c>
      <c r="C39" s="67" t="s">
        <v>167</v>
      </c>
      <c r="D39" s="68" t="s">
        <v>137</v>
      </c>
      <c r="E39" s="69"/>
      <c r="F39" s="70">
        <v>0.3306</v>
      </c>
      <c r="G39" s="71">
        <v>399523</v>
      </c>
      <c r="H39" s="71">
        <v>46737</v>
      </c>
      <c r="I39" s="72">
        <f t="shared" ref="I39" si="15">G39*F39</f>
        <v>132082.30379999999</v>
      </c>
      <c r="J39" s="72">
        <f t="shared" ref="J39" si="16">H39*F39</f>
        <v>15451.252200000001</v>
      </c>
      <c r="K39" s="72">
        <f t="shared" ref="K39" si="17">I39-I40-J39</f>
        <v>1957.1519999999891</v>
      </c>
      <c r="L39" s="72">
        <f t="shared" ref="L39" si="18">(I40+J40)*E39</f>
        <v>0</v>
      </c>
      <c r="M39" s="73">
        <f t="shared" ref="M39" si="19">I39+L39+L40</f>
        <v>132082.30379999999</v>
      </c>
      <c r="N39" s="74">
        <f t="shared" si="7"/>
        <v>0.11020000000000001</v>
      </c>
    </row>
    <row r="40" spans="1:14" s="74" customFormat="1">
      <c r="A40" s="75"/>
      <c r="B40" s="76"/>
      <c r="C40" s="77"/>
      <c r="D40" s="78"/>
      <c r="E40" s="79"/>
      <c r="F40" s="78"/>
      <c r="G40" s="80">
        <v>346866</v>
      </c>
      <c r="H40" s="80">
        <v>13487</v>
      </c>
      <c r="I40" s="81">
        <f t="shared" ref="I40" si="20">G40*F39</f>
        <v>114673.8996</v>
      </c>
      <c r="J40" s="81">
        <f t="shared" ref="J40" si="21">H40*F39</f>
        <v>4458.8022000000001</v>
      </c>
      <c r="K40" s="81"/>
      <c r="L40" s="81"/>
      <c r="M40" s="81"/>
    </row>
    <row r="41" spans="1:14" s="43" customFormat="1" ht="21" hidden="1" outlineLevel="1">
      <c r="A41" s="82" t="s">
        <v>168</v>
      </c>
      <c r="B41" s="83" t="s">
        <v>140</v>
      </c>
      <c r="C41" s="84" t="s">
        <v>141</v>
      </c>
      <c r="D41" s="83" t="s">
        <v>142</v>
      </c>
      <c r="E41" s="85">
        <v>64.091999999999999</v>
      </c>
      <c r="F41" s="85">
        <v>21.188815333333334</v>
      </c>
      <c r="G41" s="86">
        <v>5412</v>
      </c>
      <c r="H41" s="87"/>
      <c r="I41" s="88">
        <v>344022</v>
      </c>
      <c r="J41" s="88"/>
      <c r="K41" s="88"/>
      <c r="L41" s="89"/>
      <c r="M41" s="89"/>
      <c r="N41" s="74">
        <f t="shared" si="7"/>
        <v>7.0629384444444447</v>
      </c>
    </row>
    <row r="42" spans="1:14" s="43" customFormat="1" hidden="1" outlineLevel="1">
      <c r="A42" s="82" t="s">
        <v>169</v>
      </c>
      <c r="B42" s="83" t="s">
        <v>34</v>
      </c>
      <c r="C42" s="84" t="s">
        <v>144</v>
      </c>
      <c r="D42" s="83" t="s">
        <v>142</v>
      </c>
      <c r="E42" s="85">
        <v>4.08</v>
      </c>
      <c r="F42" s="85">
        <v>1.3488333333333333</v>
      </c>
      <c r="G42" s="89"/>
      <c r="H42" s="87"/>
      <c r="I42" s="88"/>
      <c r="J42" s="88"/>
      <c r="K42" s="88"/>
      <c r="L42" s="89"/>
      <c r="M42" s="89"/>
      <c r="N42" s="74">
        <f t="shared" si="7"/>
        <v>0.44961111111111113</v>
      </c>
    </row>
    <row r="43" spans="1:14" s="43" customFormat="1" hidden="1" outlineLevel="1">
      <c r="A43" s="90" t="s">
        <v>170</v>
      </c>
      <c r="B43" s="91" t="s">
        <v>146</v>
      </c>
      <c r="C43" s="92" t="s">
        <v>147</v>
      </c>
      <c r="D43" s="91" t="s">
        <v>148</v>
      </c>
      <c r="E43" s="93">
        <v>13.864800000000001</v>
      </c>
      <c r="F43" s="93">
        <v>4.5837029999999999</v>
      </c>
      <c r="G43" s="94"/>
      <c r="H43" s="95">
        <v>230</v>
      </c>
      <c r="I43" s="96"/>
      <c r="J43" s="96">
        <v>3163</v>
      </c>
      <c r="K43" s="96"/>
      <c r="L43" s="97"/>
      <c r="M43" s="97"/>
      <c r="N43" s="74">
        <f t="shared" si="7"/>
        <v>1.527901</v>
      </c>
    </row>
    <row r="44" spans="1:14" s="43" customFormat="1" ht="21" hidden="1" outlineLevel="1">
      <c r="A44" s="90" t="s">
        <v>171</v>
      </c>
      <c r="B44" s="91" t="s">
        <v>150</v>
      </c>
      <c r="C44" s="92" t="s">
        <v>151</v>
      </c>
      <c r="D44" s="91" t="s">
        <v>148</v>
      </c>
      <c r="E44" s="93">
        <v>2.0404800000000001</v>
      </c>
      <c r="F44" s="93">
        <v>0.67458266666666666</v>
      </c>
      <c r="G44" s="94"/>
      <c r="H44" s="95">
        <v>12979</v>
      </c>
      <c r="I44" s="96"/>
      <c r="J44" s="96">
        <v>26266</v>
      </c>
      <c r="K44" s="96"/>
      <c r="L44" s="97"/>
      <c r="M44" s="97"/>
      <c r="N44" s="74">
        <f t="shared" si="7"/>
        <v>0.22486088888888889</v>
      </c>
    </row>
    <row r="45" spans="1:14" s="43" customFormat="1" hidden="1" outlineLevel="2">
      <c r="A45" s="98" t="s">
        <v>171</v>
      </c>
      <c r="B45" s="99"/>
      <c r="C45" s="100" t="s">
        <v>152</v>
      </c>
      <c r="D45" s="101" t="s">
        <v>142</v>
      </c>
      <c r="E45" s="102">
        <v>2.0404800000000001</v>
      </c>
      <c r="F45" s="102">
        <v>0.67458266666666666</v>
      </c>
      <c r="G45" s="103"/>
      <c r="H45" s="102">
        <v>3888</v>
      </c>
      <c r="I45" s="104"/>
      <c r="J45" s="104">
        <v>7868.33</v>
      </c>
      <c r="K45" s="96"/>
      <c r="L45" s="97"/>
      <c r="M45" s="97"/>
      <c r="N45" s="74">
        <f t="shared" si="7"/>
        <v>0.22486088888888889</v>
      </c>
    </row>
    <row r="46" spans="1:14" s="43" customFormat="1" hidden="1" outlineLevel="1">
      <c r="A46" s="90" t="s">
        <v>172</v>
      </c>
      <c r="B46" s="91" t="s">
        <v>154</v>
      </c>
      <c r="C46" s="92" t="s">
        <v>155</v>
      </c>
      <c r="D46" s="91" t="s">
        <v>148</v>
      </c>
      <c r="E46" s="93">
        <v>2.0404800000000001</v>
      </c>
      <c r="F46" s="93">
        <v>0.67458266666666666</v>
      </c>
      <c r="G46" s="94"/>
      <c r="H46" s="95">
        <v>8363</v>
      </c>
      <c r="I46" s="96"/>
      <c r="J46" s="96">
        <v>16925</v>
      </c>
      <c r="K46" s="96"/>
      <c r="L46" s="97"/>
      <c r="M46" s="97"/>
      <c r="N46" s="74">
        <f t="shared" si="7"/>
        <v>0.22486088888888889</v>
      </c>
    </row>
    <row r="47" spans="1:14" s="43" customFormat="1" hidden="1" outlineLevel="2">
      <c r="A47" s="98" t="s">
        <v>172</v>
      </c>
      <c r="B47" s="99"/>
      <c r="C47" s="100" t="s">
        <v>152</v>
      </c>
      <c r="D47" s="101" t="s">
        <v>142</v>
      </c>
      <c r="E47" s="102">
        <v>2.0404800000000001</v>
      </c>
      <c r="F47" s="102">
        <v>0.67458266666666666</v>
      </c>
      <c r="G47" s="103"/>
      <c r="H47" s="102">
        <v>2722</v>
      </c>
      <c r="I47" s="104"/>
      <c r="J47" s="104">
        <v>5508.64</v>
      </c>
      <c r="K47" s="96"/>
      <c r="L47" s="97"/>
      <c r="M47" s="97"/>
      <c r="N47" s="74">
        <f t="shared" si="7"/>
        <v>0.22486088888888889</v>
      </c>
    </row>
    <row r="48" spans="1:14" s="43" customFormat="1" hidden="1" outlineLevel="1">
      <c r="A48" s="105" t="s">
        <v>173</v>
      </c>
      <c r="B48" s="106" t="s">
        <v>157</v>
      </c>
      <c r="C48" s="107" t="s">
        <v>158</v>
      </c>
      <c r="D48" s="106" t="s">
        <v>137</v>
      </c>
      <c r="E48" s="108">
        <v>1.7799999999999999E-3</v>
      </c>
      <c r="F48" s="108">
        <v>5.8833333333333339E-4</v>
      </c>
      <c r="G48" s="109">
        <v>1510113</v>
      </c>
      <c r="H48" s="110"/>
      <c r="I48" s="111"/>
      <c r="J48" s="111"/>
      <c r="K48" s="111">
        <v>2666</v>
      </c>
      <c r="L48" s="97"/>
      <c r="M48" s="97"/>
      <c r="N48" s="74">
        <f t="shared" si="7"/>
        <v>1.9611111111111112E-4</v>
      </c>
    </row>
    <row r="49" spans="1:14" s="43" customFormat="1" ht="21" hidden="1" outlineLevel="1">
      <c r="A49" s="105" t="s">
        <v>174</v>
      </c>
      <c r="B49" s="106" t="s">
        <v>160</v>
      </c>
      <c r="C49" s="107" t="s">
        <v>161</v>
      </c>
      <c r="D49" s="106" t="s">
        <v>162</v>
      </c>
      <c r="E49" s="108">
        <v>2.66</v>
      </c>
      <c r="F49" s="108">
        <v>0.87939599999999996</v>
      </c>
      <c r="G49" s="109">
        <v>1215</v>
      </c>
      <c r="H49" s="110"/>
      <c r="I49" s="111"/>
      <c r="J49" s="111"/>
      <c r="K49" s="111">
        <v>3205</v>
      </c>
      <c r="L49" s="97"/>
      <c r="M49" s="97"/>
      <c r="N49" s="74">
        <f t="shared" si="7"/>
        <v>0.293132</v>
      </c>
    </row>
    <row r="50" spans="1:14" s="74" customFormat="1" ht="36" collapsed="1">
      <c r="A50" s="65" t="s">
        <v>36</v>
      </c>
      <c r="B50" s="66" t="s">
        <v>175</v>
      </c>
      <c r="C50" s="241" t="s">
        <v>176</v>
      </c>
      <c r="D50" s="68" t="s">
        <v>165</v>
      </c>
      <c r="E50" s="69"/>
      <c r="F50" s="112">
        <v>114</v>
      </c>
      <c r="G50" s="71">
        <v>4700</v>
      </c>
      <c r="H50" s="113"/>
      <c r="I50" s="72">
        <f t="shared" ref="I50:I52" si="22">G50*F50</f>
        <v>535800</v>
      </c>
      <c r="J50" s="72">
        <f t="shared" ref="J50:J52" si="23">H50*F50</f>
        <v>0</v>
      </c>
      <c r="K50" s="72">
        <f t="shared" ref="K50:K52" si="24">I50-I51-J50</f>
        <v>535800</v>
      </c>
      <c r="L50" s="72">
        <f t="shared" ref="L50:L52" si="25">(I51+J51)*E50</f>
        <v>0</v>
      </c>
      <c r="M50" s="73">
        <f t="shared" ref="M50:M52" si="26">I50+L50+L51</f>
        <v>535800</v>
      </c>
      <c r="N50" s="74">
        <f t="shared" si="7"/>
        <v>38</v>
      </c>
    </row>
    <row r="51" spans="1:14" s="74" customFormat="1">
      <c r="A51" s="75"/>
      <c r="B51" s="76"/>
      <c r="C51" s="77"/>
      <c r="D51" s="78"/>
      <c r="E51" s="79"/>
      <c r="F51" s="78"/>
      <c r="G51" s="114"/>
      <c r="H51" s="114"/>
      <c r="I51" s="81">
        <f t="shared" ref="I51:I53" si="27">G51*F50</f>
        <v>0</v>
      </c>
      <c r="J51" s="81">
        <f t="shared" ref="J51:J53" si="28">H51*F50</f>
        <v>0</v>
      </c>
      <c r="K51" s="81"/>
      <c r="L51" s="81"/>
      <c r="M51" s="81"/>
    </row>
    <row r="52" spans="1:14" s="74" customFormat="1" ht="24">
      <c r="A52" s="65" t="s">
        <v>38</v>
      </c>
      <c r="B52" s="66" t="s">
        <v>177</v>
      </c>
      <c r="C52" s="67" t="s">
        <v>178</v>
      </c>
      <c r="D52" s="68" t="s">
        <v>179</v>
      </c>
      <c r="E52" s="69"/>
      <c r="F52" s="112">
        <v>220</v>
      </c>
      <c r="G52" s="71">
        <v>179</v>
      </c>
      <c r="H52" s="71">
        <v>31</v>
      </c>
      <c r="I52" s="72">
        <f t="shared" si="22"/>
        <v>39380</v>
      </c>
      <c r="J52" s="72">
        <f t="shared" si="23"/>
        <v>6820</v>
      </c>
      <c r="K52" s="72">
        <f t="shared" si="24"/>
        <v>440</v>
      </c>
      <c r="L52" s="72">
        <f t="shared" si="25"/>
        <v>0</v>
      </c>
      <c r="M52" s="73">
        <f t="shared" si="26"/>
        <v>39380</v>
      </c>
      <c r="N52" s="74">
        <f t="shared" si="7"/>
        <v>73.333333333333329</v>
      </c>
    </row>
    <row r="53" spans="1:14" s="74" customFormat="1">
      <c r="A53" s="75"/>
      <c r="B53" s="76"/>
      <c r="C53" s="77"/>
      <c r="D53" s="78"/>
      <c r="E53" s="79"/>
      <c r="F53" s="78"/>
      <c r="G53" s="80">
        <v>146</v>
      </c>
      <c r="H53" s="80">
        <v>10</v>
      </c>
      <c r="I53" s="81">
        <f t="shared" si="27"/>
        <v>32120</v>
      </c>
      <c r="J53" s="81">
        <f t="shared" si="28"/>
        <v>2200</v>
      </c>
      <c r="K53" s="81"/>
      <c r="L53" s="81"/>
      <c r="M53" s="81"/>
    </row>
    <row r="54" spans="1:14" s="43" customFormat="1" ht="21" hidden="1" outlineLevel="1">
      <c r="A54" s="82" t="s">
        <v>180</v>
      </c>
      <c r="B54" s="83" t="s">
        <v>181</v>
      </c>
      <c r="C54" s="84" t="s">
        <v>182</v>
      </c>
      <c r="D54" s="83" t="s">
        <v>142</v>
      </c>
      <c r="E54" s="85">
        <v>2.6200000000000001E-2</v>
      </c>
      <c r="F54" s="85">
        <v>5.7640000000000002</v>
      </c>
      <c r="G54" s="86">
        <v>5590</v>
      </c>
      <c r="H54" s="87"/>
      <c r="I54" s="88">
        <v>96662</v>
      </c>
      <c r="J54" s="88"/>
      <c r="K54" s="88"/>
      <c r="L54" s="89"/>
      <c r="M54" s="89"/>
      <c r="N54" s="74">
        <f t="shared" si="7"/>
        <v>1.9213333333333333</v>
      </c>
    </row>
    <row r="55" spans="1:14" s="43" customFormat="1" hidden="1" outlineLevel="1">
      <c r="A55" s="82" t="s">
        <v>183</v>
      </c>
      <c r="B55" s="83" t="s">
        <v>34</v>
      </c>
      <c r="C55" s="84" t="s">
        <v>144</v>
      </c>
      <c r="D55" s="83" t="s">
        <v>142</v>
      </c>
      <c r="E55" s="85">
        <v>2E-3</v>
      </c>
      <c r="F55" s="85">
        <v>0.44</v>
      </c>
      <c r="G55" s="89"/>
      <c r="H55" s="87"/>
      <c r="I55" s="88"/>
      <c r="J55" s="88"/>
      <c r="K55" s="88"/>
      <c r="L55" s="89"/>
      <c r="M55" s="89"/>
      <c r="N55" s="74">
        <f t="shared" si="7"/>
        <v>0.14666666666666667</v>
      </c>
    </row>
    <row r="56" spans="1:14" s="43" customFormat="1" ht="21" hidden="1" outlineLevel="1">
      <c r="A56" s="90" t="s">
        <v>184</v>
      </c>
      <c r="B56" s="91" t="s">
        <v>150</v>
      </c>
      <c r="C56" s="92" t="s">
        <v>151</v>
      </c>
      <c r="D56" s="91" t="s">
        <v>148</v>
      </c>
      <c r="E56" s="93">
        <v>1.439E-3</v>
      </c>
      <c r="F56" s="93">
        <v>0.31653599999999998</v>
      </c>
      <c r="G56" s="94"/>
      <c r="H56" s="95">
        <v>12979</v>
      </c>
      <c r="I56" s="96"/>
      <c r="J56" s="96">
        <v>12325</v>
      </c>
      <c r="K56" s="96"/>
      <c r="L56" s="97"/>
      <c r="M56" s="97"/>
      <c r="N56" s="74">
        <f t="shared" si="7"/>
        <v>0.10551199999999999</v>
      </c>
    </row>
    <row r="57" spans="1:14" s="43" customFormat="1" hidden="1" outlineLevel="2">
      <c r="A57" s="98" t="s">
        <v>184</v>
      </c>
      <c r="B57" s="99"/>
      <c r="C57" s="100" t="s">
        <v>152</v>
      </c>
      <c r="D57" s="101" t="s">
        <v>142</v>
      </c>
      <c r="E57" s="102">
        <v>1.439E-3</v>
      </c>
      <c r="F57" s="102">
        <v>0.31653599999999998</v>
      </c>
      <c r="G57" s="103"/>
      <c r="H57" s="102">
        <v>3888</v>
      </c>
      <c r="I57" s="104"/>
      <c r="J57" s="104">
        <v>3692.08</v>
      </c>
      <c r="K57" s="96"/>
      <c r="L57" s="97"/>
      <c r="M57" s="97"/>
      <c r="N57" s="74">
        <f t="shared" si="7"/>
        <v>0.10551199999999999</v>
      </c>
    </row>
    <row r="58" spans="1:14" s="43" customFormat="1" hidden="1" outlineLevel="1">
      <c r="A58" s="90" t="s">
        <v>185</v>
      </c>
      <c r="B58" s="91" t="s">
        <v>154</v>
      </c>
      <c r="C58" s="92" t="s">
        <v>155</v>
      </c>
      <c r="D58" s="91" t="s">
        <v>148</v>
      </c>
      <c r="E58" s="93">
        <v>1.439E-3</v>
      </c>
      <c r="F58" s="93">
        <v>0.31653599999999998</v>
      </c>
      <c r="G58" s="94"/>
      <c r="H58" s="95">
        <v>8363</v>
      </c>
      <c r="I58" s="96"/>
      <c r="J58" s="96">
        <v>7942</v>
      </c>
      <c r="K58" s="96"/>
      <c r="L58" s="97"/>
      <c r="M58" s="97"/>
      <c r="N58" s="74">
        <f t="shared" si="7"/>
        <v>0.10551199999999999</v>
      </c>
    </row>
    <row r="59" spans="1:14" s="43" customFormat="1" hidden="1" outlineLevel="2">
      <c r="A59" s="98" t="s">
        <v>185</v>
      </c>
      <c r="B59" s="99"/>
      <c r="C59" s="100" t="s">
        <v>152</v>
      </c>
      <c r="D59" s="101" t="s">
        <v>142</v>
      </c>
      <c r="E59" s="102">
        <v>1.439E-3</v>
      </c>
      <c r="F59" s="102">
        <v>0.31653599999999998</v>
      </c>
      <c r="G59" s="103"/>
      <c r="H59" s="102">
        <v>2722</v>
      </c>
      <c r="I59" s="104"/>
      <c r="J59" s="104">
        <v>2584.83</v>
      </c>
      <c r="K59" s="96"/>
      <c r="L59" s="97"/>
      <c r="M59" s="97"/>
      <c r="N59" s="74">
        <f t="shared" si="7"/>
        <v>0.10551199999999999</v>
      </c>
    </row>
    <row r="60" spans="1:14" s="43" customFormat="1" hidden="1" outlineLevel="1">
      <c r="A60" s="105" t="s">
        <v>186</v>
      </c>
      <c r="B60" s="106" t="s">
        <v>187</v>
      </c>
      <c r="C60" s="107" t="s">
        <v>188</v>
      </c>
      <c r="D60" s="106" t="s">
        <v>162</v>
      </c>
      <c r="E60" s="108">
        <v>1.6000000000000001E-3</v>
      </c>
      <c r="F60" s="108">
        <v>0.35200000000000004</v>
      </c>
      <c r="G60" s="109">
        <v>1293</v>
      </c>
      <c r="H60" s="110"/>
      <c r="I60" s="111"/>
      <c r="J60" s="111"/>
      <c r="K60" s="111">
        <v>1365</v>
      </c>
      <c r="L60" s="97"/>
      <c r="M60" s="97"/>
      <c r="N60" s="74">
        <f t="shared" si="7"/>
        <v>0.11733333333333335</v>
      </c>
    </row>
    <row r="61" spans="1:14" s="74" customFormat="1" ht="24" collapsed="1">
      <c r="A61" s="65" t="s">
        <v>40</v>
      </c>
      <c r="B61" s="66" t="s">
        <v>189</v>
      </c>
      <c r="C61" s="241" t="s">
        <v>190</v>
      </c>
      <c r="D61" s="68" t="s">
        <v>191</v>
      </c>
      <c r="E61" s="69"/>
      <c r="F61" s="112">
        <v>220</v>
      </c>
      <c r="G61" s="71">
        <v>720</v>
      </c>
      <c r="H61" s="113"/>
      <c r="I61" s="72">
        <f t="shared" ref="I61:I63" si="29">G61*F61</f>
        <v>158400</v>
      </c>
      <c r="J61" s="72">
        <f t="shared" ref="J61:J63" si="30">H61*F61</f>
        <v>0</v>
      </c>
      <c r="K61" s="72">
        <f t="shared" ref="K61:K63" si="31">I61-I62-J61</f>
        <v>158400</v>
      </c>
      <c r="L61" s="72">
        <f t="shared" ref="L61:L63" si="32">(I62+J62)*E61</f>
        <v>0</v>
      </c>
      <c r="M61" s="73">
        <f t="shared" ref="M61:M63" si="33">I61+L61+L62</f>
        <v>158400</v>
      </c>
      <c r="N61" s="74">
        <f t="shared" si="7"/>
        <v>73.333333333333329</v>
      </c>
    </row>
    <row r="62" spans="1:14" s="74" customFormat="1">
      <c r="A62" s="75"/>
      <c r="B62" s="76"/>
      <c r="C62" s="77"/>
      <c r="D62" s="78"/>
      <c r="E62" s="79"/>
      <c r="F62" s="78"/>
      <c r="G62" s="114"/>
      <c r="H62" s="114"/>
      <c r="I62" s="81">
        <f t="shared" ref="I62:I64" si="34">G62*F61</f>
        <v>0</v>
      </c>
      <c r="J62" s="81">
        <f t="shared" ref="J62:J64" si="35">H62*F61</f>
        <v>0</v>
      </c>
      <c r="K62" s="81"/>
      <c r="L62" s="81"/>
      <c r="M62" s="81"/>
    </row>
    <row r="63" spans="1:14" s="74" customFormat="1" ht="24">
      <c r="A63" s="65" t="s">
        <v>42</v>
      </c>
      <c r="B63" s="66" t="s">
        <v>192</v>
      </c>
      <c r="C63" s="67" t="s">
        <v>193</v>
      </c>
      <c r="D63" s="68" t="s">
        <v>179</v>
      </c>
      <c r="E63" s="69"/>
      <c r="F63" s="112">
        <v>106.66666666666667</v>
      </c>
      <c r="G63" s="71">
        <v>234</v>
      </c>
      <c r="H63" s="71">
        <v>84</v>
      </c>
      <c r="I63" s="72">
        <f t="shared" si="29"/>
        <v>24960</v>
      </c>
      <c r="J63" s="72">
        <f t="shared" si="30"/>
        <v>8960</v>
      </c>
      <c r="K63" s="72">
        <f t="shared" si="31"/>
        <v>426.66666666666606</v>
      </c>
      <c r="L63" s="72">
        <f t="shared" si="32"/>
        <v>0</v>
      </c>
      <c r="M63" s="73">
        <f t="shared" si="33"/>
        <v>24960</v>
      </c>
      <c r="N63" s="74">
        <f t="shared" si="7"/>
        <v>35.555555555555557</v>
      </c>
    </row>
    <row r="64" spans="1:14" s="74" customFormat="1">
      <c r="A64" s="75"/>
      <c r="B64" s="76"/>
      <c r="C64" s="77"/>
      <c r="D64" s="78"/>
      <c r="E64" s="79"/>
      <c r="F64" s="78"/>
      <c r="G64" s="80">
        <v>146</v>
      </c>
      <c r="H64" s="80">
        <v>26</v>
      </c>
      <c r="I64" s="81">
        <f t="shared" si="34"/>
        <v>15573.333333333334</v>
      </c>
      <c r="J64" s="81">
        <f t="shared" si="35"/>
        <v>2773.3333333333335</v>
      </c>
      <c r="K64" s="81"/>
      <c r="L64" s="81"/>
      <c r="M64" s="81"/>
    </row>
    <row r="65" spans="1:14" s="43" customFormat="1" ht="21" hidden="1" outlineLevel="1">
      <c r="A65" s="82" t="s">
        <v>194</v>
      </c>
      <c r="B65" s="83" t="s">
        <v>181</v>
      </c>
      <c r="C65" s="84" t="s">
        <v>182</v>
      </c>
      <c r="D65" s="83" t="s">
        <v>142</v>
      </c>
      <c r="E65" s="85">
        <v>2.6200000000000001E-2</v>
      </c>
      <c r="F65" s="85">
        <v>2.7946666666666666</v>
      </c>
      <c r="G65" s="86">
        <v>5590</v>
      </c>
      <c r="H65" s="87"/>
      <c r="I65" s="88">
        <v>46867</v>
      </c>
      <c r="J65" s="88"/>
      <c r="K65" s="88"/>
      <c r="L65" s="89"/>
      <c r="M65" s="89"/>
      <c r="N65" s="74">
        <f t="shared" si="7"/>
        <v>0.93155555555555558</v>
      </c>
    </row>
    <row r="66" spans="1:14" s="43" customFormat="1" hidden="1" outlineLevel="1">
      <c r="A66" s="82" t="s">
        <v>195</v>
      </c>
      <c r="B66" s="83" t="s">
        <v>34</v>
      </c>
      <c r="C66" s="84" t="s">
        <v>144</v>
      </c>
      <c r="D66" s="83" t="s">
        <v>142</v>
      </c>
      <c r="E66" s="85">
        <v>8.0000000000000002E-3</v>
      </c>
      <c r="F66" s="85">
        <v>0.85333333333333339</v>
      </c>
      <c r="G66" s="89"/>
      <c r="H66" s="87"/>
      <c r="I66" s="88"/>
      <c r="J66" s="88"/>
      <c r="K66" s="88"/>
      <c r="L66" s="89"/>
      <c r="M66" s="89"/>
      <c r="N66" s="74">
        <f t="shared" si="7"/>
        <v>0.28444444444444444</v>
      </c>
    </row>
    <row r="67" spans="1:14" s="43" customFormat="1" ht="21" hidden="1" outlineLevel="1">
      <c r="A67" s="90" t="s">
        <v>196</v>
      </c>
      <c r="B67" s="91" t="s">
        <v>150</v>
      </c>
      <c r="C67" s="92" t="s">
        <v>151</v>
      </c>
      <c r="D67" s="91" t="s">
        <v>148</v>
      </c>
      <c r="E67" s="93">
        <v>3.9240000000000004E-3</v>
      </c>
      <c r="F67" s="93">
        <v>0.41855999999999999</v>
      </c>
      <c r="G67" s="94"/>
      <c r="H67" s="95">
        <v>12979</v>
      </c>
      <c r="I67" s="96"/>
      <c r="J67" s="96">
        <v>16297</v>
      </c>
      <c r="K67" s="96"/>
      <c r="L67" s="97"/>
      <c r="M67" s="97"/>
      <c r="N67" s="74">
        <f t="shared" si="7"/>
        <v>0.13952000000000001</v>
      </c>
    </row>
    <row r="68" spans="1:14" s="43" customFormat="1" hidden="1" outlineLevel="2">
      <c r="A68" s="98" t="s">
        <v>196</v>
      </c>
      <c r="B68" s="99"/>
      <c r="C68" s="100" t="s">
        <v>152</v>
      </c>
      <c r="D68" s="101" t="s">
        <v>142</v>
      </c>
      <c r="E68" s="102">
        <v>3.9240000000000004E-3</v>
      </c>
      <c r="F68" s="102">
        <v>0.41855999999999999</v>
      </c>
      <c r="G68" s="103"/>
      <c r="H68" s="102">
        <v>3888</v>
      </c>
      <c r="I68" s="104"/>
      <c r="J68" s="104">
        <v>4882.08</v>
      </c>
      <c r="K68" s="96"/>
      <c r="L68" s="97"/>
      <c r="M68" s="97"/>
      <c r="N68" s="74">
        <f t="shared" si="7"/>
        <v>0.13952000000000001</v>
      </c>
    </row>
    <row r="69" spans="1:14" s="43" customFormat="1" hidden="1" outlineLevel="1">
      <c r="A69" s="90" t="s">
        <v>197</v>
      </c>
      <c r="B69" s="91" t="s">
        <v>154</v>
      </c>
      <c r="C69" s="92" t="s">
        <v>155</v>
      </c>
      <c r="D69" s="91" t="s">
        <v>148</v>
      </c>
      <c r="E69" s="93">
        <v>3.9240000000000004E-3</v>
      </c>
      <c r="F69" s="93">
        <v>0.41855999999999999</v>
      </c>
      <c r="G69" s="94"/>
      <c r="H69" s="95">
        <v>8363</v>
      </c>
      <c r="I69" s="96"/>
      <c r="J69" s="96">
        <v>10501</v>
      </c>
      <c r="K69" s="96"/>
      <c r="L69" s="97"/>
      <c r="M69" s="97"/>
      <c r="N69" s="74">
        <f t="shared" si="7"/>
        <v>0.13952000000000001</v>
      </c>
    </row>
    <row r="70" spans="1:14" s="43" customFormat="1" hidden="1" outlineLevel="2">
      <c r="A70" s="98" t="s">
        <v>197</v>
      </c>
      <c r="B70" s="99"/>
      <c r="C70" s="100" t="s">
        <v>152</v>
      </c>
      <c r="D70" s="101" t="s">
        <v>142</v>
      </c>
      <c r="E70" s="102">
        <v>3.9240000000000004E-3</v>
      </c>
      <c r="F70" s="102">
        <v>0.41855999999999999</v>
      </c>
      <c r="G70" s="103"/>
      <c r="H70" s="102">
        <v>2722</v>
      </c>
      <c r="I70" s="104"/>
      <c r="J70" s="104">
        <v>3417.96</v>
      </c>
      <c r="K70" s="96"/>
      <c r="L70" s="97"/>
      <c r="M70" s="97"/>
      <c r="N70" s="74">
        <f t="shared" si="7"/>
        <v>0.13952000000000001</v>
      </c>
    </row>
    <row r="71" spans="1:14" s="43" customFormat="1" hidden="1" outlineLevel="1">
      <c r="A71" s="105" t="s">
        <v>198</v>
      </c>
      <c r="B71" s="106" t="s">
        <v>187</v>
      </c>
      <c r="C71" s="107" t="s">
        <v>188</v>
      </c>
      <c r="D71" s="106" t="s">
        <v>162</v>
      </c>
      <c r="E71" s="108">
        <v>3.0999999999999999E-3</v>
      </c>
      <c r="F71" s="108">
        <v>0.33066666666666666</v>
      </c>
      <c r="G71" s="109">
        <v>1293</v>
      </c>
      <c r="H71" s="110"/>
      <c r="I71" s="111"/>
      <c r="J71" s="111"/>
      <c r="K71" s="111">
        <v>1283</v>
      </c>
      <c r="L71" s="97"/>
      <c r="M71" s="97"/>
      <c r="N71" s="74">
        <f t="shared" si="7"/>
        <v>0.11022222222222222</v>
      </c>
    </row>
    <row r="72" spans="1:14" s="74" customFormat="1" ht="24" collapsed="1">
      <c r="A72" s="65" t="s">
        <v>44</v>
      </c>
      <c r="B72" s="66" t="s">
        <v>199</v>
      </c>
      <c r="C72" s="241" t="s">
        <v>200</v>
      </c>
      <c r="D72" s="68" t="s">
        <v>191</v>
      </c>
      <c r="E72" s="69"/>
      <c r="F72" s="112">
        <v>106.66666666666667</v>
      </c>
      <c r="G72" s="71">
        <v>819</v>
      </c>
      <c r="H72" s="113"/>
      <c r="I72" s="72">
        <f t="shared" ref="I72" si="36">G72*F72</f>
        <v>87360</v>
      </c>
      <c r="J72" s="72">
        <f t="shared" ref="J72" si="37">H72*F72</f>
        <v>0</v>
      </c>
      <c r="K72" s="72">
        <f t="shared" ref="K72" si="38">I72-I73-J72</f>
        <v>87360</v>
      </c>
      <c r="L72" s="72">
        <f t="shared" ref="L72" si="39">(I73+J73)*E72</f>
        <v>0</v>
      </c>
      <c r="M72" s="73">
        <f t="shared" ref="M72" si="40">I72+L72+L73</f>
        <v>87360</v>
      </c>
      <c r="N72" s="74">
        <f t="shared" si="7"/>
        <v>35.555555555555557</v>
      </c>
    </row>
    <row r="73" spans="1:14" s="74" customFormat="1">
      <c r="A73" s="75"/>
      <c r="B73" s="76"/>
      <c r="C73" s="77"/>
      <c r="D73" s="78"/>
      <c r="E73" s="79"/>
      <c r="F73" s="78"/>
      <c r="G73" s="114"/>
      <c r="H73" s="114"/>
      <c r="I73" s="81">
        <f t="shared" ref="I73" si="41">G73*F72</f>
        <v>0</v>
      </c>
      <c r="J73" s="81">
        <f t="shared" ref="J73" si="42">H73*F72</f>
        <v>0</v>
      </c>
      <c r="K73" s="81"/>
      <c r="L73" s="81"/>
      <c r="M73" s="81"/>
    </row>
    <row r="74" spans="1:14" s="74" customFormat="1" ht="36">
      <c r="A74" s="65" t="s">
        <v>46</v>
      </c>
      <c r="B74" s="66" t="s">
        <v>201</v>
      </c>
      <c r="C74" s="67" t="s">
        <v>202</v>
      </c>
      <c r="D74" s="68" t="s">
        <v>179</v>
      </c>
      <c r="E74" s="69"/>
      <c r="F74" s="112">
        <v>163.33333333333334</v>
      </c>
      <c r="G74" s="71">
        <v>2002</v>
      </c>
      <c r="H74" s="71">
        <v>181</v>
      </c>
      <c r="I74" s="72">
        <f t="shared" ref="I74:I88" si="43">G74*F74</f>
        <v>326993.33333333337</v>
      </c>
      <c r="J74" s="72">
        <f t="shared" ref="J74:J88" si="44">H74*F74</f>
        <v>29563.333333333336</v>
      </c>
      <c r="K74" s="72">
        <f t="shared" ref="K74:K88" si="45">I74-I75-J74</f>
        <v>10943.33333333335</v>
      </c>
      <c r="L74" s="72">
        <f t="shared" ref="L74:L88" si="46">(I75+J75)*E74</f>
        <v>0</v>
      </c>
      <c r="M74" s="73">
        <f t="shared" ref="M74:M88" si="47">I74+L74+L75</f>
        <v>326993.33333333337</v>
      </c>
      <c r="N74" s="74">
        <f t="shared" si="7"/>
        <v>54.44444444444445</v>
      </c>
    </row>
    <row r="75" spans="1:14" s="74" customFormat="1">
      <c r="A75" s="75"/>
      <c r="B75" s="76"/>
      <c r="C75" s="77"/>
      <c r="D75" s="78"/>
      <c r="E75" s="79"/>
      <c r="F75" s="78"/>
      <c r="G75" s="80">
        <v>1754</v>
      </c>
      <c r="H75" s="80">
        <v>36</v>
      </c>
      <c r="I75" s="81">
        <f t="shared" ref="I75:I89" si="48">G75*F74</f>
        <v>286486.66666666669</v>
      </c>
      <c r="J75" s="81">
        <f t="shared" ref="J75:J89" si="49">H75*F74</f>
        <v>5880</v>
      </c>
      <c r="K75" s="81"/>
      <c r="L75" s="81"/>
      <c r="M75" s="81"/>
    </row>
    <row r="76" spans="1:14" s="43" customFormat="1" ht="21" hidden="1" outlineLevel="1">
      <c r="A76" s="82" t="s">
        <v>203</v>
      </c>
      <c r="B76" s="83" t="s">
        <v>181</v>
      </c>
      <c r="C76" s="84" t="s">
        <v>182</v>
      </c>
      <c r="D76" s="83" t="s">
        <v>142</v>
      </c>
      <c r="E76" s="85">
        <v>0.31390000000000001</v>
      </c>
      <c r="F76" s="85">
        <v>51.270333333333333</v>
      </c>
      <c r="G76" s="86">
        <v>5590</v>
      </c>
      <c r="H76" s="87"/>
      <c r="I76" s="88">
        <f t="shared" si="43"/>
        <v>286601.16333333333</v>
      </c>
      <c r="J76" s="88">
        <f t="shared" si="44"/>
        <v>0</v>
      </c>
      <c r="K76" s="88">
        <f t="shared" si="45"/>
        <v>286601.16333333333</v>
      </c>
      <c r="L76" s="89">
        <f t="shared" si="46"/>
        <v>0</v>
      </c>
      <c r="M76" s="89">
        <f t="shared" si="47"/>
        <v>286601.16333333333</v>
      </c>
      <c r="N76" s="74">
        <f t="shared" si="7"/>
        <v>17.09011111111111</v>
      </c>
    </row>
    <row r="77" spans="1:14" s="43" customFormat="1" hidden="1" outlineLevel="1">
      <c r="A77" s="82" t="s">
        <v>204</v>
      </c>
      <c r="B77" s="83" t="s">
        <v>34</v>
      </c>
      <c r="C77" s="84" t="s">
        <v>144</v>
      </c>
      <c r="D77" s="83" t="s">
        <v>142</v>
      </c>
      <c r="E77" s="85">
        <v>0.01</v>
      </c>
      <c r="F77" s="85">
        <v>1.6333333333333335</v>
      </c>
      <c r="G77" s="89"/>
      <c r="H77" s="87"/>
      <c r="I77" s="88">
        <f t="shared" si="48"/>
        <v>0</v>
      </c>
      <c r="J77" s="88">
        <f t="shared" si="49"/>
        <v>0</v>
      </c>
      <c r="K77" s="88"/>
      <c r="L77" s="89"/>
      <c r="M77" s="89"/>
      <c r="N77" s="74">
        <f t="shared" si="7"/>
        <v>0.54444444444444451</v>
      </c>
    </row>
    <row r="78" spans="1:14" s="43" customFormat="1" hidden="1" outlineLevel="1">
      <c r="A78" s="90" t="s">
        <v>205</v>
      </c>
      <c r="B78" s="91" t="s">
        <v>146</v>
      </c>
      <c r="C78" s="92" t="s">
        <v>147</v>
      </c>
      <c r="D78" s="91" t="s">
        <v>148</v>
      </c>
      <c r="E78" s="93">
        <v>0.28776000000000002</v>
      </c>
      <c r="F78" s="93">
        <v>47.000799999999998</v>
      </c>
      <c r="G78" s="94"/>
      <c r="H78" s="95">
        <v>230</v>
      </c>
      <c r="I78" s="96">
        <f t="shared" si="43"/>
        <v>0</v>
      </c>
      <c r="J78" s="96">
        <f t="shared" si="44"/>
        <v>10810.183999999999</v>
      </c>
      <c r="K78" s="96">
        <f t="shared" si="45"/>
        <v>-10810.183999999999</v>
      </c>
      <c r="L78" s="97">
        <f t="shared" si="46"/>
        <v>175540.328749632</v>
      </c>
      <c r="M78" s="97">
        <f t="shared" si="47"/>
        <v>175540.328749632</v>
      </c>
      <c r="N78" s="74">
        <f t="shared" si="7"/>
        <v>15.666933333333333</v>
      </c>
    </row>
    <row r="79" spans="1:14" s="43" customFormat="1" ht="21" hidden="1" outlineLevel="1">
      <c r="A79" s="90" t="s">
        <v>206</v>
      </c>
      <c r="B79" s="91" t="s">
        <v>150</v>
      </c>
      <c r="C79" s="92" t="s">
        <v>151</v>
      </c>
      <c r="D79" s="91" t="s">
        <v>148</v>
      </c>
      <c r="E79" s="93">
        <v>5.3629999999999997E-3</v>
      </c>
      <c r="F79" s="93">
        <v>0.87592400000000004</v>
      </c>
      <c r="G79" s="94"/>
      <c r="H79" s="95">
        <v>12979</v>
      </c>
      <c r="I79" s="96">
        <f t="shared" si="48"/>
        <v>0</v>
      </c>
      <c r="J79" s="96">
        <f t="shared" si="49"/>
        <v>610023.38319999992</v>
      </c>
      <c r="K79" s="96"/>
      <c r="L79" s="97"/>
      <c r="M79" s="97"/>
      <c r="N79" s="74">
        <f t="shared" si="7"/>
        <v>0.29197466666666666</v>
      </c>
    </row>
    <row r="80" spans="1:14" s="43" customFormat="1" hidden="1" outlineLevel="2">
      <c r="A80" s="98" t="s">
        <v>206</v>
      </c>
      <c r="B80" s="99"/>
      <c r="C80" s="100" t="s">
        <v>152</v>
      </c>
      <c r="D80" s="101" t="s">
        <v>142</v>
      </c>
      <c r="E80" s="102">
        <v>5.3629999999999997E-3</v>
      </c>
      <c r="F80" s="102">
        <v>0.87592400000000004</v>
      </c>
      <c r="G80" s="103"/>
      <c r="H80" s="102">
        <v>3888</v>
      </c>
      <c r="I80" s="104">
        <f t="shared" si="43"/>
        <v>0</v>
      </c>
      <c r="J80" s="104">
        <f t="shared" si="44"/>
        <v>3405.5925120000002</v>
      </c>
      <c r="K80" s="96">
        <f t="shared" si="45"/>
        <v>-3405.5925120000002</v>
      </c>
      <c r="L80" s="97">
        <f t="shared" si="46"/>
        <v>39.285864985555996</v>
      </c>
      <c r="M80" s="97">
        <f t="shared" si="47"/>
        <v>39.285864985555996</v>
      </c>
      <c r="N80" s="74">
        <f t="shared" si="7"/>
        <v>0.29197466666666666</v>
      </c>
    </row>
    <row r="81" spans="1:14" s="43" customFormat="1" hidden="1" outlineLevel="1">
      <c r="A81" s="90" t="s">
        <v>207</v>
      </c>
      <c r="B81" s="91" t="s">
        <v>154</v>
      </c>
      <c r="C81" s="92" t="s">
        <v>155</v>
      </c>
      <c r="D81" s="91" t="s">
        <v>148</v>
      </c>
      <c r="E81" s="93">
        <v>5.3629999999999997E-3</v>
      </c>
      <c r="F81" s="93">
        <v>0.87592400000000004</v>
      </c>
      <c r="G81" s="94"/>
      <c r="H81" s="95">
        <v>8363</v>
      </c>
      <c r="I81" s="96">
        <f t="shared" si="48"/>
        <v>0</v>
      </c>
      <c r="J81" s="96">
        <f t="shared" si="49"/>
        <v>7325.3524120000002</v>
      </c>
      <c r="K81" s="96"/>
      <c r="L81" s="97"/>
      <c r="M81" s="97"/>
      <c r="N81" s="74">
        <f t="shared" si="7"/>
        <v>0.29197466666666666</v>
      </c>
    </row>
    <row r="82" spans="1:14" s="43" customFormat="1" hidden="1" outlineLevel="2">
      <c r="A82" s="98" t="s">
        <v>207</v>
      </c>
      <c r="B82" s="99"/>
      <c r="C82" s="100" t="s">
        <v>152</v>
      </c>
      <c r="D82" s="101" t="s">
        <v>142</v>
      </c>
      <c r="E82" s="102">
        <v>5.3629999999999997E-3</v>
      </c>
      <c r="F82" s="102">
        <v>0.87592400000000004</v>
      </c>
      <c r="G82" s="103"/>
      <c r="H82" s="102">
        <v>2722</v>
      </c>
      <c r="I82" s="104">
        <f t="shared" si="43"/>
        <v>0</v>
      </c>
      <c r="J82" s="104">
        <f t="shared" si="44"/>
        <v>2384.265128</v>
      </c>
      <c r="K82" s="96">
        <f t="shared" si="45"/>
        <v>-2666.3126560000001</v>
      </c>
      <c r="L82" s="97">
        <f t="shared" si="46"/>
        <v>1.5126208926639999</v>
      </c>
      <c r="M82" s="97">
        <f t="shared" si="47"/>
        <v>1.5126208926639999</v>
      </c>
      <c r="N82" s="74">
        <f t="shared" si="7"/>
        <v>0.29197466666666666</v>
      </c>
    </row>
    <row r="83" spans="1:14" s="43" customFormat="1" hidden="1" outlineLevel="1">
      <c r="A83" s="105" t="s">
        <v>208</v>
      </c>
      <c r="B83" s="106" t="s">
        <v>209</v>
      </c>
      <c r="C83" s="107" t="s">
        <v>210</v>
      </c>
      <c r="D83" s="106" t="s">
        <v>211</v>
      </c>
      <c r="E83" s="108">
        <v>4.3999999999999997E-2</v>
      </c>
      <c r="F83" s="108">
        <v>7.1866666666666665</v>
      </c>
      <c r="G83" s="109">
        <v>322</v>
      </c>
      <c r="H83" s="110"/>
      <c r="I83" s="111">
        <f t="shared" si="48"/>
        <v>282.047528</v>
      </c>
      <c r="J83" s="111">
        <f t="shared" si="49"/>
        <v>0</v>
      </c>
      <c r="K83" s="111"/>
      <c r="L83" s="97"/>
      <c r="M83" s="97"/>
      <c r="N83" s="74">
        <f t="shared" si="7"/>
        <v>2.3955555555555557</v>
      </c>
    </row>
    <row r="84" spans="1:14" s="43" customFormat="1" hidden="1" outlineLevel="1">
      <c r="A84" s="105" t="s">
        <v>212</v>
      </c>
      <c r="B84" s="106" t="s">
        <v>187</v>
      </c>
      <c r="C84" s="107" t="s">
        <v>188</v>
      </c>
      <c r="D84" s="106" t="s">
        <v>162</v>
      </c>
      <c r="E84" s="108">
        <v>6.0000000000000001E-3</v>
      </c>
      <c r="F84" s="108">
        <v>0.98</v>
      </c>
      <c r="G84" s="109">
        <v>1293</v>
      </c>
      <c r="H84" s="110"/>
      <c r="I84" s="111">
        <f t="shared" si="43"/>
        <v>1267.1399999999999</v>
      </c>
      <c r="J84" s="111">
        <f t="shared" si="44"/>
        <v>0</v>
      </c>
      <c r="K84" s="111">
        <f t="shared" si="45"/>
        <v>76.439999999999827</v>
      </c>
      <c r="L84" s="97">
        <f t="shared" si="46"/>
        <v>7.1442000000000005</v>
      </c>
      <c r="M84" s="97">
        <f t="shared" si="47"/>
        <v>1274.2841999999998</v>
      </c>
      <c r="N84" s="74">
        <f t="shared" si="7"/>
        <v>0.32666666666666666</v>
      </c>
    </row>
    <row r="85" spans="1:14" s="43" customFormat="1" ht="21" hidden="1" outlineLevel="1">
      <c r="A85" s="105" t="s">
        <v>213</v>
      </c>
      <c r="B85" s="106" t="s">
        <v>160</v>
      </c>
      <c r="C85" s="107" t="s">
        <v>161</v>
      </c>
      <c r="D85" s="106" t="s">
        <v>162</v>
      </c>
      <c r="E85" s="108">
        <v>3.6799999999999999E-2</v>
      </c>
      <c r="F85" s="108">
        <v>6.0106666666666664</v>
      </c>
      <c r="G85" s="109">
        <v>1215</v>
      </c>
      <c r="H85" s="110"/>
      <c r="I85" s="111">
        <f t="shared" si="48"/>
        <v>1190.7</v>
      </c>
      <c r="J85" s="111">
        <f t="shared" si="49"/>
        <v>0</v>
      </c>
      <c r="K85" s="111"/>
      <c r="L85" s="97"/>
      <c r="M85" s="97"/>
      <c r="N85" s="74">
        <f t="shared" si="7"/>
        <v>2.0035555555555553</v>
      </c>
    </row>
    <row r="86" spans="1:14" s="74" customFormat="1" ht="24" collapsed="1">
      <c r="A86" s="65" t="s">
        <v>48</v>
      </c>
      <c r="B86" s="66" t="s">
        <v>214</v>
      </c>
      <c r="C86" s="241" t="s">
        <v>215</v>
      </c>
      <c r="D86" s="68" t="s">
        <v>191</v>
      </c>
      <c r="E86" s="69"/>
      <c r="F86" s="112">
        <v>163.33333333333334</v>
      </c>
      <c r="G86" s="71">
        <v>825</v>
      </c>
      <c r="H86" s="113"/>
      <c r="I86" s="72">
        <f t="shared" si="43"/>
        <v>134750</v>
      </c>
      <c r="J86" s="72">
        <f t="shared" si="44"/>
        <v>0</v>
      </c>
      <c r="K86" s="72">
        <f t="shared" si="45"/>
        <v>134750</v>
      </c>
      <c r="L86" s="72">
        <f t="shared" si="46"/>
        <v>0</v>
      </c>
      <c r="M86" s="73">
        <f t="shared" si="47"/>
        <v>134750</v>
      </c>
      <c r="N86" s="74">
        <f t="shared" si="7"/>
        <v>54.44444444444445</v>
      </c>
    </row>
    <row r="87" spans="1:14" s="74" customFormat="1">
      <c r="A87" s="75"/>
      <c r="B87" s="76"/>
      <c r="C87" s="77"/>
      <c r="D87" s="78"/>
      <c r="E87" s="79"/>
      <c r="F87" s="78"/>
      <c r="G87" s="114"/>
      <c r="H87" s="114"/>
      <c r="I87" s="81">
        <f t="shared" si="48"/>
        <v>0</v>
      </c>
      <c r="J87" s="81">
        <f t="shared" si="49"/>
        <v>0</v>
      </c>
      <c r="K87" s="81"/>
      <c r="L87" s="81"/>
      <c r="M87" s="81"/>
    </row>
    <row r="88" spans="1:14" s="74" customFormat="1" ht="24">
      <c r="A88" s="65" t="s">
        <v>50</v>
      </c>
      <c r="B88" s="66" t="s">
        <v>216</v>
      </c>
      <c r="C88" s="241" t="s">
        <v>217</v>
      </c>
      <c r="D88" s="68" t="s">
        <v>191</v>
      </c>
      <c r="E88" s="69"/>
      <c r="F88" s="112">
        <v>326.66666666666669</v>
      </c>
      <c r="G88" s="71">
        <v>148</v>
      </c>
      <c r="H88" s="113"/>
      <c r="I88" s="72">
        <f t="shared" si="43"/>
        <v>48346.666666666672</v>
      </c>
      <c r="J88" s="72">
        <f t="shared" si="44"/>
        <v>0</v>
      </c>
      <c r="K88" s="72">
        <f t="shared" si="45"/>
        <v>48346.666666666672</v>
      </c>
      <c r="L88" s="72">
        <f t="shared" si="46"/>
        <v>0</v>
      </c>
      <c r="M88" s="73">
        <f t="shared" si="47"/>
        <v>48346.666666666672</v>
      </c>
      <c r="N88" s="74">
        <f t="shared" si="7"/>
        <v>108.8888888888889</v>
      </c>
    </row>
    <row r="89" spans="1:14" s="74" customFormat="1">
      <c r="A89" s="75"/>
      <c r="B89" s="76"/>
      <c r="C89" s="77"/>
      <c r="D89" s="78"/>
      <c r="E89" s="79"/>
      <c r="F89" s="78"/>
      <c r="G89" s="114"/>
      <c r="H89" s="114"/>
      <c r="I89" s="81">
        <f t="shared" si="48"/>
        <v>0</v>
      </c>
      <c r="J89" s="81">
        <f t="shared" si="49"/>
        <v>0</v>
      </c>
      <c r="K89" s="81"/>
      <c r="L89" s="81"/>
      <c r="M89" s="81"/>
    </row>
    <row r="90" spans="1:14" s="74" customFormat="1" ht="48">
      <c r="A90" s="65" t="s">
        <v>52</v>
      </c>
      <c r="B90" s="66" t="s">
        <v>135</v>
      </c>
      <c r="C90" s="67" t="s">
        <v>136</v>
      </c>
      <c r="D90" s="68" t="s">
        <v>137</v>
      </c>
      <c r="E90" s="69"/>
      <c r="F90" s="70">
        <v>1.9599999999999999E-2</v>
      </c>
      <c r="G90" s="71">
        <v>458904</v>
      </c>
      <c r="H90" s="71">
        <v>47489</v>
      </c>
      <c r="I90" s="72">
        <f t="shared" ref="I90" si="50">G90*F90</f>
        <v>8994.518399999999</v>
      </c>
      <c r="J90" s="72">
        <f t="shared" ref="J90" si="51">H90*F90</f>
        <v>930.78440000000001</v>
      </c>
      <c r="K90" s="72">
        <f t="shared" ref="K90" si="52">I90-I91-J90</f>
        <v>155.19279999999935</v>
      </c>
      <c r="L90" s="72">
        <f t="shared" ref="L90" si="53">(I91+J91)*E90</f>
        <v>0</v>
      </c>
      <c r="M90" s="73">
        <f t="shared" ref="M90" si="54">I90+L90+L91</f>
        <v>8994.518399999999</v>
      </c>
      <c r="N90" s="74">
        <f t="shared" si="7"/>
        <v>6.5333333333333328E-3</v>
      </c>
    </row>
    <row r="91" spans="1:14" s="74" customFormat="1">
      <c r="A91" s="75"/>
      <c r="B91" s="76"/>
      <c r="C91" s="77"/>
      <c r="D91" s="78"/>
      <c r="E91" s="79"/>
      <c r="F91" s="78"/>
      <c r="G91" s="80">
        <v>403497</v>
      </c>
      <c r="H91" s="80">
        <v>13487</v>
      </c>
      <c r="I91" s="81">
        <f t="shared" ref="I91" si="55">G91*F90</f>
        <v>7908.5411999999997</v>
      </c>
      <c r="J91" s="81">
        <f t="shared" ref="J91" si="56">H91*F90</f>
        <v>264.34519999999998</v>
      </c>
      <c r="K91" s="81"/>
      <c r="L91" s="81"/>
      <c r="M91" s="81"/>
    </row>
    <row r="92" spans="1:14" s="43" customFormat="1" ht="21" hidden="1" outlineLevel="1">
      <c r="A92" s="82" t="s">
        <v>218</v>
      </c>
      <c r="B92" s="83" t="s">
        <v>140</v>
      </c>
      <c r="C92" s="84" t="s">
        <v>141</v>
      </c>
      <c r="D92" s="83" t="s">
        <v>142</v>
      </c>
      <c r="E92" s="85">
        <v>74.555999999999997</v>
      </c>
      <c r="F92" s="85">
        <v>1.4612976666666666</v>
      </c>
      <c r="G92" s="86">
        <v>5412</v>
      </c>
      <c r="H92" s="87"/>
      <c r="I92" s="88">
        <v>23726</v>
      </c>
      <c r="J92" s="88"/>
      <c r="K92" s="88"/>
      <c r="L92" s="89"/>
      <c r="M92" s="89"/>
      <c r="N92" s="74">
        <f t="shared" ref="N92:N154" si="57">F92/3</f>
        <v>0.48709922222222218</v>
      </c>
    </row>
    <row r="93" spans="1:14" s="43" customFormat="1" hidden="1" outlineLevel="1">
      <c r="A93" s="82" t="s">
        <v>219</v>
      </c>
      <c r="B93" s="83" t="s">
        <v>34</v>
      </c>
      <c r="C93" s="84" t="s">
        <v>144</v>
      </c>
      <c r="D93" s="83" t="s">
        <v>142</v>
      </c>
      <c r="E93" s="85">
        <v>4.08</v>
      </c>
      <c r="F93" s="85">
        <v>7.9966666666666672E-2</v>
      </c>
      <c r="G93" s="89"/>
      <c r="H93" s="87"/>
      <c r="I93" s="88"/>
      <c r="J93" s="88"/>
      <c r="K93" s="88"/>
      <c r="L93" s="89"/>
      <c r="M93" s="89"/>
      <c r="N93" s="74">
        <f t="shared" si="57"/>
        <v>2.6655555555555557E-2</v>
      </c>
    </row>
    <row r="94" spans="1:14" s="43" customFormat="1" hidden="1" outlineLevel="1">
      <c r="A94" s="90" t="s">
        <v>220</v>
      </c>
      <c r="B94" s="91" t="s">
        <v>146</v>
      </c>
      <c r="C94" s="92" t="s">
        <v>147</v>
      </c>
      <c r="D94" s="91" t="s">
        <v>148</v>
      </c>
      <c r="E94" s="93">
        <v>17.134799999999998</v>
      </c>
      <c r="F94" s="93">
        <v>0.33584199999999997</v>
      </c>
      <c r="G94" s="94"/>
      <c r="H94" s="95">
        <v>230</v>
      </c>
      <c r="I94" s="96"/>
      <c r="J94" s="96">
        <v>232</v>
      </c>
      <c r="K94" s="96"/>
      <c r="L94" s="97"/>
      <c r="M94" s="97"/>
      <c r="N94" s="74">
        <f t="shared" si="57"/>
        <v>0.11194733333333333</v>
      </c>
    </row>
    <row r="95" spans="1:14" s="43" customFormat="1" ht="21" hidden="1" outlineLevel="1">
      <c r="A95" s="90" t="s">
        <v>221</v>
      </c>
      <c r="B95" s="91" t="s">
        <v>150</v>
      </c>
      <c r="C95" s="92" t="s">
        <v>151</v>
      </c>
      <c r="D95" s="91" t="s">
        <v>148</v>
      </c>
      <c r="E95" s="93">
        <v>2.0404800000000001</v>
      </c>
      <c r="F95" s="93">
        <v>3.9993333333333332E-2</v>
      </c>
      <c r="G95" s="94"/>
      <c r="H95" s="95">
        <v>12979</v>
      </c>
      <c r="I95" s="96"/>
      <c r="J95" s="96">
        <v>1557</v>
      </c>
      <c r="K95" s="96"/>
      <c r="L95" s="97"/>
      <c r="M95" s="97"/>
      <c r="N95" s="74">
        <f t="shared" si="57"/>
        <v>1.3331111111111111E-2</v>
      </c>
    </row>
    <row r="96" spans="1:14" s="43" customFormat="1" hidden="1" outlineLevel="2">
      <c r="A96" s="98" t="s">
        <v>221</v>
      </c>
      <c r="B96" s="99"/>
      <c r="C96" s="100" t="s">
        <v>152</v>
      </c>
      <c r="D96" s="101" t="s">
        <v>142</v>
      </c>
      <c r="E96" s="102">
        <v>2.0404800000000001</v>
      </c>
      <c r="F96" s="102">
        <v>3.9993333333333332E-2</v>
      </c>
      <c r="G96" s="103"/>
      <c r="H96" s="102">
        <v>3888</v>
      </c>
      <c r="I96" s="104"/>
      <c r="J96" s="104">
        <v>466.48</v>
      </c>
      <c r="K96" s="96"/>
      <c r="L96" s="97"/>
      <c r="M96" s="97"/>
      <c r="N96" s="74">
        <f t="shared" si="57"/>
        <v>1.3331111111111111E-2</v>
      </c>
    </row>
    <row r="97" spans="1:14" s="43" customFormat="1" hidden="1" outlineLevel="1">
      <c r="A97" s="90" t="s">
        <v>222</v>
      </c>
      <c r="B97" s="91" t="s">
        <v>154</v>
      </c>
      <c r="C97" s="92" t="s">
        <v>155</v>
      </c>
      <c r="D97" s="91" t="s">
        <v>148</v>
      </c>
      <c r="E97" s="93">
        <v>2.0404800000000001</v>
      </c>
      <c r="F97" s="93">
        <v>3.9993333333333332E-2</v>
      </c>
      <c r="G97" s="94"/>
      <c r="H97" s="95">
        <v>8363</v>
      </c>
      <c r="I97" s="96"/>
      <c r="J97" s="96">
        <v>1003</v>
      </c>
      <c r="K97" s="96"/>
      <c r="L97" s="97"/>
      <c r="M97" s="97"/>
      <c r="N97" s="74">
        <f t="shared" si="57"/>
        <v>1.3331111111111111E-2</v>
      </c>
    </row>
    <row r="98" spans="1:14" s="43" customFormat="1" hidden="1" outlineLevel="2">
      <c r="A98" s="98" t="s">
        <v>222</v>
      </c>
      <c r="B98" s="99"/>
      <c r="C98" s="100" t="s">
        <v>152</v>
      </c>
      <c r="D98" s="101" t="s">
        <v>142</v>
      </c>
      <c r="E98" s="102">
        <v>2.0404800000000001</v>
      </c>
      <c r="F98" s="102">
        <v>3.9993333333333332E-2</v>
      </c>
      <c r="G98" s="103"/>
      <c r="H98" s="102">
        <v>2722</v>
      </c>
      <c r="I98" s="104"/>
      <c r="J98" s="104">
        <v>326.58999999999997</v>
      </c>
      <c r="K98" s="96"/>
      <c r="L98" s="97"/>
      <c r="M98" s="97"/>
      <c r="N98" s="74">
        <f t="shared" si="57"/>
        <v>1.3331111111111111E-2</v>
      </c>
    </row>
    <row r="99" spans="1:14" s="43" customFormat="1" hidden="1" outlineLevel="1">
      <c r="A99" s="105" t="s">
        <v>223</v>
      </c>
      <c r="B99" s="106" t="s">
        <v>157</v>
      </c>
      <c r="C99" s="107" t="s">
        <v>158</v>
      </c>
      <c r="D99" s="106" t="s">
        <v>137</v>
      </c>
      <c r="E99" s="108">
        <v>2.5400000000000002E-3</v>
      </c>
      <c r="F99" s="108">
        <v>4.9666666666666663E-5</v>
      </c>
      <c r="G99" s="109">
        <v>1510113</v>
      </c>
      <c r="H99" s="110"/>
      <c r="I99" s="111"/>
      <c r="J99" s="111"/>
      <c r="K99" s="111">
        <v>226</v>
      </c>
      <c r="L99" s="97"/>
      <c r="M99" s="97"/>
      <c r="N99" s="74">
        <f t="shared" si="57"/>
        <v>1.6555555555555556E-5</v>
      </c>
    </row>
    <row r="100" spans="1:14" s="43" customFormat="1" ht="21" hidden="1" outlineLevel="1">
      <c r="A100" s="105" t="s">
        <v>224</v>
      </c>
      <c r="B100" s="106" t="s">
        <v>160</v>
      </c>
      <c r="C100" s="107" t="s">
        <v>161</v>
      </c>
      <c r="D100" s="106" t="s">
        <v>162</v>
      </c>
      <c r="E100" s="108">
        <v>3.36</v>
      </c>
      <c r="F100" s="108">
        <v>6.5855999999999998E-2</v>
      </c>
      <c r="G100" s="109">
        <v>1215</v>
      </c>
      <c r="H100" s="110"/>
      <c r="I100" s="111"/>
      <c r="J100" s="111"/>
      <c r="K100" s="111">
        <v>240</v>
      </c>
      <c r="L100" s="97"/>
      <c r="M100" s="97"/>
      <c r="N100" s="74">
        <f t="shared" si="57"/>
        <v>2.1951999999999999E-2</v>
      </c>
    </row>
    <row r="101" spans="1:14" s="74" customFormat="1" ht="36" collapsed="1">
      <c r="A101" s="65" t="s">
        <v>54</v>
      </c>
      <c r="B101" s="66" t="s">
        <v>225</v>
      </c>
      <c r="C101" s="241" t="s">
        <v>226</v>
      </c>
      <c r="D101" s="68" t="s">
        <v>191</v>
      </c>
      <c r="E101" s="69"/>
      <c r="F101" s="112">
        <v>653.33333333333337</v>
      </c>
      <c r="G101" s="71">
        <v>311</v>
      </c>
      <c r="H101" s="113"/>
      <c r="I101" s="72">
        <f t="shared" ref="I101" si="58">G101*F101</f>
        <v>203186.66666666669</v>
      </c>
      <c r="J101" s="72">
        <f t="shared" ref="J101" si="59">H101*F101</f>
        <v>0</v>
      </c>
      <c r="K101" s="72">
        <f t="shared" ref="K101" si="60">I101-I102-J101</f>
        <v>203186.66666666669</v>
      </c>
      <c r="L101" s="72">
        <f t="shared" ref="L101" si="61">(I102+J102)*E101</f>
        <v>0</v>
      </c>
      <c r="M101" s="73">
        <f t="shared" ref="M101" si="62">I101+L101+L102</f>
        <v>203186.66666666669</v>
      </c>
      <c r="N101" s="74">
        <f t="shared" si="57"/>
        <v>217.7777777777778</v>
      </c>
    </row>
    <row r="102" spans="1:14" s="74" customFormat="1">
      <c r="A102" s="75"/>
      <c r="B102" s="76"/>
      <c r="C102" s="77"/>
      <c r="D102" s="78"/>
      <c r="E102" s="79"/>
      <c r="F102" s="78"/>
      <c r="G102" s="114"/>
      <c r="H102" s="114"/>
      <c r="I102" s="81">
        <f t="shared" ref="I102" si="63">G102*F101</f>
        <v>0</v>
      </c>
      <c r="J102" s="81">
        <f t="shared" ref="J102" si="64">H102*F101</f>
        <v>0</v>
      </c>
      <c r="K102" s="81"/>
      <c r="L102" s="81"/>
      <c r="M102" s="81"/>
    </row>
    <row r="103" spans="1:14" s="74" customFormat="1" ht="48">
      <c r="A103" s="65" t="s">
        <v>56</v>
      </c>
      <c r="B103" s="66" t="s">
        <v>227</v>
      </c>
      <c r="C103" s="241" t="s">
        <v>228</v>
      </c>
      <c r="D103" s="68" t="s">
        <v>191</v>
      </c>
      <c r="E103" s="69"/>
      <c r="F103" s="112">
        <v>507.33333333333331</v>
      </c>
      <c r="G103" s="71">
        <v>5</v>
      </c>
      <c r="H103" s="113"/>
      <c r="I103" s="72">
        <f t="shared" ref="I103:I105" si="65">G103*F103</f>
        <v>2536.6666666666665</v>
      </c>
      <c r="J103" s="72">
        <f t="shared" ref="J103:J105" si="66">H103*F103</f>
        <v>0</v>
      </c>
      <c r="K103" s="72">
        <f t="shared" ref="K103:K105" si="67">I103-I104-J103</f>
        <v>2536.6666666666665</v>
      </c>
      <c r="L103" s="72">
        <f t="shared" ref="L103:L105" si="68">(I104+J104)*E103</f>
        <v>0</v>
      </c>
      <c r="M103" s="73">
        <f t="shared" ref="M103:M105" si="69">I103+L103+L104</f>
        <v>2536.6666666666665</v>
      </c>
      <c r="N103" s="74">
        <f t="shared" si="57"/>
        <v>169.11111111111111</v>
      </c>
    </row>
    <row r="104" spans="1:14" s="74" customFormat="1">
      <c r="A104" s="75"/>
      <c r="B104" s="76"/>
      <c r="C104" s="77"/>
      <c r="D104" s="78"/>
      <c r="E104" s="79"/>
      <c r="F104" s="78"/>
      <c r="G104" s="114"/>
      <c r="H104" s="114"/>
      <c r="I104" s="81">
        <f t="shared" ref="I104:I106" si="70">G104*F103</f>
        <v>0</v>
      </c>
      <c r="J104" s="81">
        <f t="shared" ref="J104:J106" si="71">H104*F103</f>
        <v>0</v>
      </c>
      <c r="K104" s="81"/>
      <c r="L104" s="81"/>
      <c r="M104" s="81"/>
    </row>
    <row r="105" spans="1:14" s="74" customFormat="1" ht="24">
      <c r="A105" s="65" t="s">
        <v>58</v>
      </c>
      <c r="B105" s="66" t="s">
        <v>229</v>
      </c>
      <c r="C105" s="67" t="s">
        <v>230</v>
      </c>
      <c r="D105" s="68" t="s">
        <v>137</v>
      </c>
      <c r="E105" s="69"/>
      <c r="F105" s="70">
        <v>1.5737066666666667E-2</v>
      </c>
      <c r="G105" s="71">
        <v>351330</v>
      </c>
      <c r="H105" s="71">
        <v>61550</v>
      </c>
      <c r="I105" s="72">
        <f t="shared" si="65"/>
        <v>5528.9036320000005</v>
      </c>
      <c r="J105" s="72">
        <f t="shared" si="66"/>
        <v>968.61645333333342</v>
      </c>
      <c r="K105" s="72">
        <f t="shared" si="67"/>
        <v>187.80615360000013</v>
      </c>
      <c r="L105" s="72">
        <f t="shared" si="68"/>
        <v>0</v>
      </c>
      <c r="M105" s="73">
        <f t="shared" si="69"/>
        <v>5528.9036320000005</v>
      </c>
      <c r="N105" s="74">
        <f t="shared" si="57"/>
        <v>5.2456888888888888E-3</v>
      </c>
    </row>
    <row r="106" spans="1:14" s="74" customFormat="1">
      <c r="A106" s="75"/>
      <c r="B106" s="76"/>
      <c r="C106" s="77"/>
      <c r="D106" s="78"/>
      <c r="E106" s="79"/>
      <c r="F106" s="78"/>
      <c r="G106" s="80">
        <v>277846</v>
      </c>
      <c r="H106" s="80">
        <v>17637</v>
      </c>
      <c r="I106" s="81">
        <f t="shared" si="70"/>
        <v>4372.4810250666669</v>
      </c>
      <c r="J106" s="81">
        <f t="shared" si="71"/>
        <v>277.55464480000001</v>
      </c>
      <c r="K106" s="81"/>
      <c r="L106" s="81"/>
      <c r="M106" s="81"/>
    </row>
    <row r="107" spans="1:14" s="43" customFormat="1" ht="21" hidden="1" outlineLevel="1">
      <c r="A107" s="82" t="s">
        <v>231</v>
      </c>
      <c r="B107" s="83" t="s">
        <v>181</v>
      </c>
      <c r="C107" s="84" t="s">
        <v>182</v>
      </c>
      <c r="D107" s="83" t="s">
        <v>142</v>
      </c>
      <c r="E107" s="85">
        <v>49.704000000000001</v>
      </c>
      <c r="F107" s="85">
        <v>0.78219500000000008</v>
      </c>
      <c r="G107" s="86">
        <v>5590</v>
      </c>
      <c r="H107" s="87"/>
      <c r="I107" s="88">
        <v>13117</v>
      </c>
      <c r="J107" s="88"/>
      <c r="K107" s="88"/>
      <c r="L107" s="89"/>
      <c r="M107" s="89"/>
      <c r="N107" s="74">
        <f t="shared" si="57"/>
        <v>0.26073166666666669</v>
      </c>
    </row>
    <row r="108" spans="1:14" s="43" customFormat="1" hidden="1" outlineLevel="1">
      <c r="A108" s="82" t="s">
        <v>232</v>
      </c>
      <c r="B108" s="83" t="s">
        <v>34</v>
      </c>
      <c r="C108" s="84" t="s">
        <v>144</v>
      </c>
      <c r="D108" s="83" t="s">
        <v>142</v>
      </c>
      <c r="E108" s="85">
        <v>5.3360000000000003</v>
      </c>
      <c r="F108" s="85">
        <v>8.3966666666666676E-2</v>
      </c>
      <c r="G108" s="89"/>
      <c r="H108" s="87"/>
      <c r="I108" s="88"/>
      <c r="J108" s="88"/>
      <c r="K108" s="88"/>
      <c r="L108" s="89"/>
      <c r="M108" s="89"/>
      <c r="N108" s="74">
        <f t="shared" si="57"/>
        <v>2.7988888888888893E-2</v>
      </c>
    </row>
    <row r="109" spans="1:14" s="43" customFormat="1" hidden="1" outlineLevel="1">
      <c r="A109" s="90" t="s">
        <v>233</v>
      </c>
      <c r="B109" s="91" t="s">
        <v>146</v>
      </c>
      <c r="C109" s="92" t="s">
        <v>147</v>
      </c>
      <c r="D109" s="91" t="s">
        <v>148</v>
      </c>
      <c r="E109" s="93">
        <v>20.0124</v>
      </c>
      <c r="F109" s="93">
        <v>0.31493633333333332</v>
      </c>
      <c r="G109" s="94"/>
      <c r="H109" s="95">
        <v>230</v>
      </c>
      <c r="I109" s="96"/>
      <c r="J109" s="96">
        <v>217</v>
      </c>
      <c r="K109" s="96"/>
      <c r="L109" s="97"/>
      <c r="M109" s="97"/>
      <c r="N109" s="74">
        <f t="shared" si="57"/>
        <v>0.10497877777777777</v>
      </c>
    </row>
    <row r="110" spans="1:14" s="43" customFormat="1" ht="21" hidden="1" outlineLevel="1">
      <c r="A110" s="90" t="s">
        <v>234</v>
      </c>
      <c r="B110" s="91" t="s">
        <v>150</v>
      </c>
      <c r="C110" s="92" t="s">
        <v>151</v>
      </c>
      <c r="D110" s="91" t="s">
        <v>148</v>
      </c>
      <c r="E110" s="93">
        <v>2.66832</v>
      </c>
      <c r="F110" s="93">
        <v>4.199166666666667E-2</v>
      </c>
      <c r="G110" s="94"/>
      <c r="H110" s="95">
        <v>12979</v>
      </c>
      <c r="I110" s="96"/>
      <c r="J110" s="96">
        <v>1635</v>
      </c>
      <c r="K110" s="96"/>
      <c r="L110" s="97"/>
      <c r="M110" s="97"/>
      <c r="N110" s="74">
        <f t="shared" si="57"/>
        <v>1.3997222222222223E-2</v>
      </c>
    </row>
    <row r="111" spans="1:14" s="43" customFormat="1" hidden="1" outlineLevel="2">
      <c r="A111" s="98" t="s">
        <v>234</v>
      </c>
      <c r="B111" s="99"/>
      <c r="C111" s="100" t="s">
        <v>152</v>
      </c>
      <c r="D111" s="101" t="s">
        <v>142</v>
      </c>
      <c r="E111" s="102">
        <v>2.66832</v>
      </c>
      <c r="F111" s="102">
        <v>4.199166666666667E-2</v>
      </c>
      <c r="G111" s="103"/>
      <c r="H111" s="102">
        <v>3888</v>
      </c>
      <c r="I111" s="104"/>
      <c r="J111" s="104">
        <v>489.79</v>
      </c>
      <c r="K111" s="96"/>
      <c r="L111" s="97"/>
      <c r="M111" s="97"/>
      <c r="N111" s="74">
        <f t="shared" si="57"/>
        <v>1.3997222222222223E-2</v>
      </c>
    </row>
    <row r="112" spans="1:14" s="43" customFormat="1" hidden="1" outlineLevel="1">
      <c r="A112" s="90" t="s">
        <v>235</v>
      </c>
      <c r="B112" s="91" t="s">
        <v>154</v>
      </c>
      <c r="C112" s="92" t="s">
        <v>155</v>
      </c>
      <c r="D112" s="91" t="s">
        <v>148</v>
      </c>
      <c r="E112" s="93">
        <v>2.66832</v>
      </c>
      <c r="F112" s="93">
        <v>4.199166666666667E-2</v>
      </c>
      <c r="G112" s="94"/>
      <c r="H112" s="95">
        <v>8363</v>
      </c>
      <c r="I112" s="96"/>
      <c r="J112" s="96">
        <v>1054</v>
      </c>
      <c r="K112" s="96"/>
      <c r="L112" s="97"/>
      <c r="M112" s="97"/>
      <c r="N112" s="74">
        <f t="shared" si="57"/>
        <v>1.3997222222222223E-2</v>
      </c>
    </row>
    <row r="113" spans="1:14" s="43" customFormat="1" hidden="1" outlineLevel="2">
      <c r="A113" s="98" t="s">
        <v>235</v>
      </c>
      <c r="B113" s="99"/>
      <c r="C113" s="100" t="s">
        <v>152</v>
      </c>
      <c r="D113" s="101" t="s">
        <v>142</v>
      </c>
      <c r="E113" s="102">
        <v>2.66832</v>
      </c>
      <c r="F113" s="102">
        <v>4.199166666666667E-2</v>
      </c>
      <c r="G113" s="103"/>
      <c r="H113" s="102">
        <v>2722</v>
      </c>
      <c r="I113" s="104"/>
      <c r="J113" s="104">
        <v>342.9</v>
      </c>
      <c r="K113" s="96"/>
      <c r="L113" s="97"/>
      <c r="M113" s="97"/>
      <c r="N113" s="74">
        <f t="shared" si="57"/>
        <v>1.3997222222222223E-2</v>
      </c>
    </row>
    <row r="114" spans="1:14" s="43" customFormat="1" hidden="1" outlineLevel="1">
      <c r="A114" s="105" t="s">
        <v>236</v>
      </c>
      <c r="B114" s="106" t="s">
        <v>237</v>
      </c>
      <c r="C114" s="107" t="s">
        <v>238</v>
      </c>
      <c r="D114" s="106" t="s">
        <v>137</v>
      </c>
      <c r="E114" s="108">
        <v>9.0000000000000006E-5</v>
      </c>
      <c r="F114" s="108">
        <v>1.3333333333333332E-6</v>
      </c>
      <c r="G114" s="109">
        <v>24399</v>
      </c>
      <c r="H114" s="110"/>
      <c r="I114" s="111"/>
      <c r="J114" s="111"/>
      <c r="K114" s="111">
        <v>0.1</v>
      </c>
      <c r="L114" s="97"/>
      <c r="M114" s="97"/>
      <c r="N114" s="74">
        <f t="shared" si="57"/>
        <v>4.4444444444444438E-7</v>
      </c>
    </row>
    <row r="115" spans="1:14" s="43" customFormat="1" hidden="1" outlineLevel="1">
      <c r="A115" s="105" t="s">
        <v>239</v>
      </c>
      <c r="B115" s="106" t="s">
        <v>187</v>
      </c>
      <c r="C115" s="107" t="s">
        <v>188</v>
      </c>
      <c r="D115" s="106" t="s">
        <v>162</v>
      </c>
      <c r="E115" s="108">
        <v>7.8</v>
      </c>
      <c r="F115" s="108">
        <v>0.122749</v>
      </c>
      <c r="G115" s="109">
        <v>1293</v>
      </c>
      <c r="H115" s="110"/>
      <c r="I115" s="111"/>
      <c r="J115" s="111"/>
      <c r="K115" s="111">
        <v>476</v>
      </c>
      <c r="L115" s="97"/>
      <c r="M115" s="97"/>
      <c r="N115" s="74">
        <f t="shared" si="57"/>
        <v>4.0916333333333332E-2</v>
      </c>
    </row>
    <row r="116" spans="1:14" s="43" customFormat="1" ht="21" hidden="1" outlineLevel="1">
      <c r="A116" s="105" t="s">
        <v>240</v>
      </c>
      <c r="B116" s="106" t="s">
        <v>160</v>
      </c>
      <c r="C116" s="107" t="s">
        <v>161</v>
      </c>
      <c r="D116" s="106" t="s">
        <v>162</v>
      </c>
      <c r="E116" s="108">
        <v>1.52</v>
      </c>
      <c r="F116" s="108">
        <v>2.3920333333333335E-2</v>
      </c>
      <c r="G116" s="109">
        <v>1215</v>
      </c>
      <c r="H116" s="110"/>
      <c r="I116" s="111"/>
      <c r="J116" s="111"/>
      <c r="K116" s="111">
        <v>87</v>
      </c>
      <c r="L116" s="97"/>
      <c r="M116" s="97"/>
      <c r="N116" s="74">
        <f t="shared" si="57"/>
        <v>7.9734444444444445E-3</v>
      </c>
    </row>
    <row r="117" spans="1:14" s="74" customFormat="1" ht="48" collapsed="1">
      <c r="A117" s="65" t="s">
        <v>60</v>
      </c>
      <c r="B117" s="66" t="s">
        <v>241</v>
      </c>
      <c r="C117" s="67" t="s">
        <v>242</v>
      </c>
      <c r="D117" s="68" t="s">
        <v>243</v>
      </c>
      <c r="E117" s="69"/>
      <c r="F117" s="112">
        <v>5.333333333333333</v>
      </c>
      <c r="G117" s="71">
        <v>10002</v>
      </c>
      <c r="H117" s="71">
        <v>3058</v>
      </c>
      <c r="I117" s="72">
        <f t="shared" ref="I117" si="72">G117*F117</f>
        <v>53344</v>
      </c>
      <c r="J117" s="72">
        <f t="shared" ref="J117" si="73">H117*F117</f>
        <v>16309.333333333332</v>
      </c>
      <c r="K117" s="72">
        <f t="shared" ref="K117" si="74">I117-I118-J117</f>
        <v>0</v>
      </c>
      <c r="L117" s="72">
        <f t="shared" ref="L117" si="75">(I118+J118)*E117</f>
        <v>0</v>
      </c>
      <c r="M117" s="73">
        <f t="shared" ref="M117" si="76">I117+L117+L118</f>
        <v>53344</v>
      </c>
      <c r="N117" s="74">
        <f t="shared" si="57"/>
        <v>1.7777777777777777</v>
      </c>
    </row>
    <row r="118" spans="1:14" s="74" customFormat="1">
      <c r="A118" s="75"/>
      <c r="B118" s="76"/>
      <c r="C118" s="77"/>
      <c r="D118" s="78"/>
      <c r="E118" s="79"/>
      <c r="F118" s="78"/>
      <c r="G118" s="80">
        <v>6944</v>
      </c>
      <c r="H118" s="80">
        <v>964</v>
      </c>
      <c r="I118" s="81">
        <f t="shared" ref="I118" si="77">G118*F117</f>
        <v>37034.666666666664</v>
      </c>
      <c r="J118" s="81">
        <f t="shared" ref="J118" si="78">H118*F117</f>
        <v>5141.333333333333</v>
      </c>
      <c r="K118" s="81"/>
      <c r="L118" s="81"/>
      <c r="M118" s="81"/>
    </row>
    <row r="119" spans="1:14" s="43" customFormat="1" ht="31.5" hidden="1" outlineLevel="1">
      <c r="A119" s="82" t="s">
        <v>244</v>
      </c>
      <c r="B119" s="83" t="s">
        <v>245</v>
      </c>
      <c r="C119" s="84" t="s">
        <v>246</v>
      </c>
      <c r="D119" s="83" t="s">
        <v>142</v>
      </c>
      <c r="E119" s="85">
        <v>1.2819</v>
      </c>
      <c r="F119" s="85">
        <v>6.8368000000000002</v>
      </c>
      <c r="G119" s="86">
        <v>5417</v>
      </c>
      <c r="H119" s="87"/>
      <c r="I119" s="88">
        <v>111105</v>
      </c>
      <c r="J119" s="88"/>
      <c r="K119" s="88"/>
      <c r="L119" s="89"/>
      <c r="M119" s="89"/>
      <c r="N119" s="74">
        <f t="shared" si="57"/>
        <v>2.2789333333333333</v>
      </c>
    </row>
    <row r="120" spans="1:14" s="43" customFormat="1" hidden="1" outlineLevel="1">
      <c r="A120" s="82" t="s">
        <v>247</v>
      </c>
      <c r="B120" s="83" t="s">
        <v>34</v>
      </c>
      <c r="C120" s="84" t="s">
        <v>144</v>
      </c>
      <c r="D120" s="83" t="s">
        <v>142</v>
      </c>
      <c r="E120" s="85">
        <v>0.35399999999999998</v>
      </c>
      <c r="F120" s="85">
        <v>1.8879999999999999</v>
      </c>
      <c r="G120" s="89"/>
      <c r="H120" s="87"/>
      <c r="I120" s="88"/>
      <c r="J120" s="88"/>
      <c r="K120" s="88"/>
      <c r="L120" s="89"/>
      <c r="M120" s="89"/>
      <c r="N120" s="74">
        <f t="shared" si="57"/>
        <v>0.6293333333333333</v>
      </c>
    </row>
    <row r="121" spans="1:14" s="43" customFormat="1" ht="21.75" hidden="1" outlineLevel="1">
      <c r="A121" s="90" t="s">
        <v>248</v>
      </c>
      <c r="B121" s="91" t="s">
        <v>249</v>
      </c>
      <c r="C121" s="92" t="s">
        <v>250</v>
      </c>
      <c r="D121" s="91" t="s">
        <v>148</v>
      </c>
      <c r="E121" s="93">
        <v>0.35427799999999998</v>
      </c>
      <c r="F121" s="93">
        <v>1.8894846666666665</v>
      </c>
      <c r="G121" s="94"/>
      <c r="H121" s="95">
        <v>8456</v>
      </c>
      <c r="I121" s="96"/>
      <c r="J121" s="96">
        <v>47932</v>
      </c>
      <c r="K121" s="96"/>
      <c r="L121" s="97"/>
      <c r="M121" s="97"/>
      <c r="N121" s="74">
        <f t="shared" si="57"/>
        <v>0.62982822222222212</v>
      </c>
    </row>
    <row r="122" spans="1:14" s="43" customFormat="1" hidden="1" outlineLevel="2">
      <c r="A122" s="98" t="s">
        <v>248</v>
      </c>
      <c r="B122" s="99"/>
      <c r="C122" s="100" t="s">
        <v>152</v>
      </c>
      <c r="D122" s="101" t="s">
        <v>142</v>
      </c>
      <c r="E122" s="102">
        <v>0.35427799999999998</v>
      </c>
      <c r="F122" s="102">
        <v>1.8894846666666665</v>
      </c>
      <c r="G122" s="103"/>
      <c r="H122" s="102">
        <v>2722</v>
      </c>
      <c r="I122" s="104"/>
      <c r="J122" s="104">
        <v>15429.53</v>
      </c>
      <c r="K122" s="96"/>
      <c r="L122" s="97"/>
      <c r="M122" s="97"/>
      <c r="N122" s="74">
        <f t="shared" si="57"/>
        <v>0.62982822222222212</v>
      </c>
    </row>
    <row r="123" spans="1:14" s="43" customFormat="1" ht="21" hidden="1" outlineLevel="1">
      <c r="A123" s="90" t="s">
        <v>251</v>
      </c>
      <c r="B123" s="91" t="s">
        <v>252</v>
      </c>
      <c r="C123" s="92" t="s">
        <v>253</v>
      </c>
      <c r="D123" s="91" t="s">
        <v>148</v>
      </c>
      <c r="E123" s="93">
        <v>0.708422</v>
      </c>
      <c r="F123" s="93">
        <v>3.7782526666666669</v>
      </c>
      <c r="G123" s="94"/>
      <c r="H123" s="95">
        <v>87</v>
      </c>
      <c r="I123" s="96"/>
      <c r="J123" s="96">
        <v>986</v>
      </c>
      <c r="K123" s="96"/>
      <c r="L123" s="97"/>
      <c r="M123" s="97"/>
      <c r="N123" s="74">
        <f t="shared" si="57"/>
        <v>1.2594175555555556</v>
      </c>
    </row>
    <row r="124" spans="1:14" s="74" customFormat="1" ht="36" collapsed="1">
      <c r="A124" s="65" t="s">
        <v>62</v>
      </c>
      <c r="B124" s="66" t="s">
        <v>254</v>
      </c>
      <c r="C124" s="67" t="s">
        <v>255</v>
      </c>
      <c r="D124" s="68" t="s">
        <v>137</v>
      </c>
      <c r="E124" s="69"/>
      <c r="F124" s="70">
        <v>2.1034666666666663E-2</v>
      </c>
      <c r="G124" s="71">
        <v>292148</v>
      </c>
      <c r="H124" s="71">
        <v>4253</v>
      </c>
      <c r="I124" s="72">
        <f t="shared" ref="I124" si="79">G124*F124</f>
        <v>6145.2357973333319</v>
      </c>
      <c r="J124" s="72">
        <f t="shared" ref="J124" si="80">H124*F124</f>
        <v>89.460437333333317</v>
      </c>
      <c r="K124" s="72">
        <f t="shared" ref="K124" si="81">I124-I125-J124</f>
        <v>29.469567999999384</v>
      </c>
      <c r="L124" s="72">
        <f t="shared" ref="L124" si="82">(I125+J125)*E124</f>
        <v>0</v>
      </c>
      <c r="M124" s="73">
        <f t="shared" ref="M124" si="83">I124+L124+L125</f>
        <v>6145.2357973333319</v>
      </c>
      <c r="N124" s="74">
        <f t="shared" si="57"/>
        <v>7.0115555555555547E-3</v>
      </c>
    </row>
    <row r="125" spans="1:14" s="74" customFormat="1">
      <c r="A125" s="75"/>
      <c r="B125" s="76"/>
      <c r="C125" s="77"/>
      <c r="D125" s="78"/>
      <c r="E125" s="79"/>
      <c r="F125" s="78"/>
      <c r="G125" s="80">
        <v>286494</v>
      </c>
      <c r="H125" s="80">
        <v>1488</v>
      </c>
      <c r="I125" s="81">
        <f t="shared" ref="I125" si="84">G125*F124</f>
        <v>6026.3057919999992</v>
      </c>
      <c r="J125" s="81">
        <f t="shared" ref="J125" si="85">H125*F124</f>
        <v>31.299583999999996</v>
      </c>
      <c r="K125" s="81"/>
      <c r="L125" s="81"/>
      <c r="M125" s="81"/>
    </row>
    <row r="126" spans="1:14" s="43" customFormat="1" ht="21" hidden="1" outlineLevel="1">
      <c r="A126" s="82" t="s">
        <v>256</v>
      </c>
      <c r="B126" s="83" t="s">
        <v>257</v>
      </c>
      <c r="C126" s="84" t="s">
        <v>258</v>
      </c>
      <c r="D126" s="83" t="s">
        <v>142</v>
      </c>
      <c r="E126" s="85">
        <v>57.552</v>
      </c>
      <c r="F126" s="85">
        <v>1.2105870000000001</v>
      </c>
      <c r="G126" s="86">
        <v>4978</v>
      </c>
      <c r="H126" s="87"/>
      <c r="I126" s="88">
        <v>18079</v>
      </c>
      <c r="J126" s="88"/>
      <c r="K126" s="88"/>
      <c r="L126" s="89"/>
      <c r="M126" s="89"/>
      <c r="N126" s="74">
        <f t="shared" si="57"/>
        <v>0.40352900000000003</v>
      </c>
    </row>
    <row r="127" spans="1:14" s="43" customFormat="1" hidden="1" outlineLevel="1">
      <c r="A127" s="82" t="s">
        <v>259</v>
      </c>
      <c r="B127" s="83" t="s">
        <v>34</v>
      </c>
      <c r="C127" s="84" t="s">
        <v>144</v>
      </c>
      <c r="D127" s="83" t="s">
        <v>142</v>
      </c>
      <c r="E127" s="85">
        <v>0.628</v>
      </c>
      <c r="F127" s="85">
        <v>1.3200000000000002E-2</v>
      </c>
      <c r="G127" s="89"/>
      <c r="H127" s="87"/>
      <c r="I127" s="88"/>
      <c r="J127" s="88"/>
      <c r="K127" s="88"/>
      <c r="L127" s="89"/>
      <c r="M127" s="89"/>
      <c r="N127" s="74">
        <f t="shared" si="57"/>
        <v>4.4000000000000003E-3</v>
      </c>
    </row>
    <row r="128" spans="1:14" s="43" customFormat="1" hidden="1" outlineLevel="1">
      <c r="A128" s="90" t="s">
        <v>260</v>
      </c>
      <c r="B128" s="91" t="s">
        <v>261</v>
      </c>
      <c r="C128" s="92" t="s">
        <v>262</v>
      </c>
      <c r="D128" s="91" t="s">
        <v>148</v>
      </c>
      <c r="E128" s="93">
        <v>0.49703999999999998</v>
      </c>
      <c r="F128" s="93">
        <v>1.0454999999999999E-2</v>
      </c>
      <c r="G128" s="94"/>
      <c r="H128" s="95">
        <v>6096</v>
      </c>
      <c r="I128" s="96"/>
      <c r="J128" s="96">
        <v>191</v>
      </c>
      <c r="K128" s="96"/>
      <c r="L128" s="97"/>
      <c r="M128" s="97"/>
      <c r="N128" s="74">
        <f t="shared" si="57"/>
        <v>3.4849999999999998E-3</v>
      </c>
    </row>
    <row r="129" spans="1:14" s="43" customFormat="1" hidden="1" outlineLevel="2">
      <c r="A129" s="98" t="s">
        <v>260</v>
      </c>
      <c r="B129" s="99"/>
      <c r="C129" s="100" t="s">
        <v>152</v>
      </c>
      <c r="D129" s="101" t="s">
        <v>142</v>
      </c>
      <c r="E129" s="102">
        <v>0.49703999999999998</v>
      </c>
      <c r="F129" s="102">
        <v>1.0454999999999999E-2</v>
      </c>
      <c r="G129" s="103"/>
      <c r="H129" s="102">
        <v>2278</v>
      </c>
      <c r="I129" s="104"/>
      <c r="J129" s="104">
        <v>71.45</v>
      </c>
      <c r="K129" s="96"/>
      <c r="L129" s="97"/>
      <c r="M129" s="97"/>
      <c r="N129" s="74">
        <f t="shared" si="57"/>
        <v>3.4849999999999998E-3</v>
      </c>
    </row>
    <row r="130" spans="1:14" s="43" customFormat="1" hidden="1" outlineLevel="1">
      <c r="A130" s="90" t="s">
        <v>263</v>
      </c>
      <c r="B130" s="91" t="s">
        <v>146</v>
      </c>
      <c r="C130" s="92" t="s">
        <v>147</v>
      </c>
      <c r="D130" s="91" t="s">
        <v>148</v>
      </c>
      <c r="E130" s="93">
        <v>0.56244000000000005</v>
      </c>
      <c r="F130" s="93">
        <v>1.1830666666666668E-2</v>
      </c>
      <c r="G130" s="94"/>
      <c r="H130" s="95">
        <v>230</v>
      </c>
      <c r="I130" s="96"/>
      <c r="J130" s="96">
        <v>8</v>
      </c>
      <c r="K130" s="96"/>
      <c r="L130" s="97"/>
      <c r="M130" s="97"/>
      <c r="N130" s="74">
        <f t="shared" si="57"/>
        <v>3.943555555555556E-3</v>
      </c>
    </row>
    <row r="131" spans="1:14" s="43" customFormat="1" hidden="1" outlineLevel="1">
      <c r="A131" s="90" t="s">
        <v>264</v>
      </c>
      <c r="B131" s="91" t="s">
        <v>154</v>
      </c>
      <c r="C131" s="92" t="s">
        <v>155</v>
      </c>
      <c r="D131" s="91" t="s">
        <v>148</v>
      </c>
      <c r="E131" s="93">
        <v>0.1308</v>
      </c>
      <c r="F131" s="93">
        <v>2.7513333333333331E-3</v>
      </c>
      <c r="G131" s="94"/>
      <c r="H131" s="95">
        <v>8363</v>
      </c>
      <c r="I131" s="96"/>
      <c r="J131" s="96">
        <v>69</v>
      </c>
      <c r="K131" s="96"/>
      <c r="L131" s="97"/>
      <c r="M131" s="97"/>
      <c r="N131" s="74">
        <f t="shared" si="57"/>
        <v>9.1711111111111106E-4</v>
      </c>
    </row>
    <row r="132" spans="1:14" s="43" customFormat="1" hidden="1" outlineLevel="2">
      <c r="A132" s="98" t="s">
        <v>264</v>
      </c>
      <c r="B132" s="99"/>
      <c r="C132" s="100" t="s">
        <v>152</v>
      </c>
      <c r="D132" s="101" t="s">
        <v>142</v>
      </c>
      <c r="E132" s="102">
        <v>0.1308</v>
      </c>
      <c r="F132" s="102">
        <v>2.7513333333333331E-3</v>
      </c>
      <c r="G132" s="103"/>
      <c r="H132" s="102">
        <v>2722</v>
      </c>
      <c r="I132" s="104"/>
      <c r="J132" s="104">
        <v>22.47</v>
      </c>
      <c r="K132" s="96"/>
      <c r="L132" s="97"/>
      <c r="M132" s="97"/>
      <c r="N132" s="74">
        <f t="shared" si="57"/>
        <v>9.1711111111111106E-4</v>
      </c>
    </row>
    <row r="133" spans="1:14" s="43" customFormat="1" hidden="1" outlineLevel="1">
      <c r="A133" s="105" t="s">
        <v>265</v>
      </c>
      <c r="B133" s="106" t="s">
        <v>266</v>
      </c>
      <c r="C133" s="107" t="s">
        <v>267</v>
      </c>
      <c r="D133" s="106" t="s">
        <v>137</v>
      </c>
      <c r="E133" s="108">
        <v>5.1000000000000004E-3</v>
      </c>
      <c r="F133" s="108">
        <v>1.0733333333333334E-4</v>
      </c>
      <c r="G133" s="109">
        <v>274757</v>
      </c>
      <c r="H133" s="110"/>
      <c r="I133" s="111"/>
      <c r="J133" s="111"/>
      <c r="K133" s="111">
        <v>88</v>
      </c>
      <c r="L133" s="97"/>
      <c r="M133" s="97"/>
      <c r="N133" s="74">
        <f t="shared" si="57"/>
        <v>3.5777777777777784E-5</v>
      </c>
    </row>
    <row r="134" spans="1:14" s="74" customFormat="1" ht="48" collapsed="1">
      <c r="A134" s="65" t="s">
        <v>64</v>
      </c>
      <c r="B134" s="66" t="s">
        <v>268</v>
      </c>
      <c r="C134" s="241" t="s">
        <v>269</v>
      </c>
      <c r="D134" s="68" t="s">
        <v>137</v>
      </c>
      <c r="E134" s="69"/>
      <c r="F134" s="70">
        <v>2.6293333333333335E-2</v>
      </c>
      <c r="G134" s="71">
        <v>462591</v>
      </c>
      <c r="H134" s="113"/>
      <c r="I134" s="72">
        <f t="shared" ref="I134:I136" si="86">G134*F134</f>
        <v>12163.059360000001</v>
      </c>
      <c r="J134" s="72">
        <f t="shared" ref="J134:J136" si="87">H134*F134</f>
        <v>0</v>
      </c>
      <c r="K134" s="72">
        <f t="shared" ref="K134:K136" si="88">I134-I135-J134</f>
        <v>12163.059360000001</v>
      </c>
      <c r="L134" s="72">
        <f t="shared" ref="L134:L136" si="89">(I135+J135)*E134</f>
        <v>0</v>
      </c>
      <c r="M134" s="73">
        <f t="shared" ref="M134:M136" si="90">I134+L134+L135</f>
        <v>12163.059360000001</v>
      </c>
      <c r="N134" s="74">
        <f t="shared" si="57"/>
        <v>8.7644444444444445E-3</v>
      </c>
    </row>
    <row r="135" spans="1:14" s="74" customFormat="1">
      <c r="A135" s="75"/>
      <c r="B135" s="76"/>
      <c r="C135" s="77"/>
      <c r="D135" s="78"/>
      <c r="E135" s="79"/>
      <c r="F135" s="78"/>
      <c r="G135" s="114"/>
      <c r="H135" s="114"/>
      <c r="I135" s="81">
        <f t="shared" ref="I135:I137" si="91">G135*F134</f>
        <v>0</v>
      </c>
      <c r="J135" s="81">
        <f t="shared" ref="J135:J137" si="92">H135*F134</f>
        <v>0</v>
      </c>
      <c r="K135" s="81"/>
      <c r="L135" s="81"/>
      <c r="M135" s="81"/>
    </row>
    <row r="136" spans="1:14" s="74" customFormat="1" ht="48">
      <c r="A136" s="65" t="s">
        <v>66</v>
      </c>
      <c r="B136" s="66" t="s">
        <v>270</v>
      </c>
      <c r="C136" s="241" t="s">
        <v>271</v>
      </c>
      <c r="D136" s="68" t="s">
        <v>137</v>
      </c>
      <c r="E136" s="69"/>
      <c r="F136" s="70">
        <v>1.0478400000000001E-2</v>
      </c>
      <c r="G136" s="71">
        <v>335553</v>
      </c>
      <c r="H136" s="113"/>
      <c r="I136" s="72">
        <f t="shared" si="86"/>
        <v>3516.0585552000002</v>
      </c>
      <c r="J136" s="72">
        <f t="shared" si="87"/>
        <v>0</v>
      </c>
      <c r="K136" s="72">
        <f t="shared" si="88"/>
        <v>3516.0585552000002</v>
      </c>
      <c r="L136" s="72">
        <f t="shared" si="89"/>
        <v>0</v>
      </c>
      <c r="M136" s="73">
        <f t="shared" si="90"/>
        <v>3516.0585552000002</v>
      </c>
      <c r="N136" s="74">
        <f t="shared" si="57"/>
        <v>3.4928000000000003E-3</v>
      </c>
    </row>
    <row r="137" spans="1:14" s="74" customFormat="1">
      <c r="A137" s="75"/>
      <c r="B137" s="76"/>
      <c r="C137" s="77"/>
      <c r="D137" s="78"/>
      <c r="E137" s="79"/>
      <c r="F137" s="78"/>
      <c r="G137" s="114"/>
      <c r="H137" s="114"/>
      <c r="I137" s="81">
        <f t="shared" si="91"/>
        <v>0</v>
      </c>
      <c r="J137" s="81">
        <f t="shared" si="92"/>
        <v>0</v>
      </c>
      <c r="K137" s="81"/>
      <c r="L137" s="81"/>
      <c r="M137" s="81"/>
    </row>
    <row r="138" spans="1:14" s="74" customFormat="1" ht="36">
      <c r="A138" s="65" t="s">
        <v>68</v>
      </c>
      <c r="B138" s="66" t="s">
        <v>272</v>
      </c>
      <c r="C138" s="67" t="s">
        <v>273</v>
      </c>
      <c r="D138" s="68" t="s">
        <v>274</v>
      </c>
      <c r="E138" s="69"/>
      <c r="F138" s="112">
        <v>5.333333333333333</v>
      </c>
      <c r="G138" s="71">
        <v>2145</v>
      </c>
      <c r="H138" s="71">
        <v>561</v>
      </c>
      <c r="I138" s="72">
        <f t="shared" ref="I138" si="93">G138*F138</f>
        <v>11440</v>
      </c>
      <c r="J138" s="72">
        <f t="shared" ref="J138" si="94">H138*F138</f>
        <v>2992</v>
      </c>
      <c r="K138" s="72">
        <f t="shared" ref="K138" si="95">I138-I139-J138</f>
        <v>138.66666666666788</v>
      </c>
      <c r="L138" s="72">
        <f t="shared" ref="L138" si="96">(I139+J139)*E138</f>
        <v>0</v>
      </c>
      <c r="M138" s="73">
        <f t="shared" ref="M138" si="97">I138+L138+L139</f>
        <v>11440</v>
      </c>
      <c r="N138" s="74">
        <f t="shared" si="57"/>
        <v>1.7777777777777777</v>
      </c>
    </row>
    <row r="139" spans="1:14" s="74" customFormat="1">
      <c r="A139" s="75"/>
      <c r="B139" s="76"/>
      <c r="C139" s="77"/>
      <c r="D139" s="78"/>
      <c r="E139" s="79"/>
      <c r="F139" s="78"/>
      <c r="G139" s="80">
        <v>1558</v>
      </c>
      <c r="H139" s="80">
        <v>174</v>
      </c>
      <c r="I139" s="81">
        <f t="shared" ref="I139" si="98">G139*F138</f>
        <v>8309.3333333333321</v>
      </c>
      <c r="J139" s="81">
        <f t="shared" ref="J139" si="99">H139*F138</f>
        <v>928</v>
      </c>
      <c r="K139" s="81"/>
      <c r="L139" s="81"/>
      <c r="M139" s="81"/>
    </row>
    <row r="140" spans="1:14" s="43" customFormat="1" ht="21" hidden="1" outlineLevel="1">
      <c r="A140" s="82" t="s">
        <v>275</v>
      </c>
      <c r="B140" s="83" t="s">
        <v>140</v>
      </c>
      <c r="C140" s="84" t="s">
        <v>141</v>
      </c>
      <c r="D140" s="83" t="s">
        <v>142</v>
      </c>
      <c r="E140" s="85">
        <v>0.2878</v>
      </c>
      <c r="F140" s="85">
        <v>1.5349333333333333</v>
      </c>
      <c r="G140" s="86">
        <v>5412</v>
      </c>
      <c r="H140" s="87"/>
      <c r="I140" s="88">
        <v>24921</v>
      </c>
      <c r="J140" s="88"/>
      <c r="K140" s="88"/>
      <c r="L140" s="89"/>
      <c r="M140" s="89"/>
      <c r="N140" s="74">
        <f t="shared" si="57"/>
        <v>0.51164444444444446</v>
      </c>
    </row>
    <row r="141" spans="1:14" s="43" customFormat="1" hidden="1" outlineLevel="1">
      <c r="A141" s="82" t="s">
        <v>276</v>
      </c>
      <c r="B141" s="83" t="s">
        <v>34</v>
      </c>
      <c r="C141" s="84" t="s">
        <v>144</v>
      </c>
      <c r="D141" s="83" t="s">
        <v>142</v>
      </c>
      <c r="E141" s="85">
        <v>5.1999999999999998E-2</v>
      </c>
      <c r="F141" s="85">
        <v>0.27733333333333332</v>
      </c>
      <c r="G141" s="89"/>
      <c r="H141" s="87"/>
      <c r="I141" s="88"/>
      <c r="J141" s="88"/>
      <c r="K141" s="88"/>
      <c r="L141" s="89"/>
      <c r="M141" s="89"/>
      <c r="N141" s="74">
        <f t="shared" si="57"/>
        <v>9.244444444444444E-2</v>
      </c>
    </row>
    <row r="142" spans="1:14" s="43" customFormat="1" ht="21" hidden="1" outlineLevel="1">
      <c r="A142" s="90" t="s">
        <v>277</v>
      </c>
      <c r="B142" s="91" t="s">
        <v>150</v>
      </c>
      <c r="C142" s="92" t="s">
        <v>151</v>
      </c>
      <c r="D142" s="91" t="s">
        <v>148</v>
      </c>
      <c r="E142" s="93">
        <v>2.6290999999999998E-2</v>
      </c>
      <c r="F142" s="93">
        <v>0.14021766666666666</v>
      </c>
      <c r="G142" s="94"/>
      <c r="H142" s="95">
        <v>12979</v>
      </c>
      <c r="I142" s="96"/>
      <c r="J142" s="96">
        <v>5460</v>
      </c>
      <c r="K142" s="96"/>
      <c r="L142" s="97"/>
      <c r="M142" s="97"/>
      <c r="N142" s="74">
        <f t="shared" si="57"/>
        <v>4.6739222222222217E-2</v>
      </c>
    </row>
    <row r="143" spans="1:14" s="43" customFormat="1" hidden="1" outlineLevel="2">
      <c r="A143" s="98" t="s">
        <v>277</v>
      </c>
      <c r="B143" s="99"/>
      <c r="C143" s="100" t="s">
        <v>152</v>
      </c>
      <c r="D143" s="101" t="s">
        <v>142</v>
      </c>
      <c r="E143" s="102">
        <v>2.6290999999999998E-2</v>
      </c>
      <c r="F143" s="102">
        <v>0.14021766666666666</v>
      </c>
      <c r="G143" s="103"/>
      <c r="H143" s="102">
        <v>3888</v>
      </c>
      <c r="I143" s="104"/>
      <c r="J143" s="104">
        <v>1635.5</v>
      </c>
      <c r="K143" s="96"/>
      <c r="L143" s="97"/>
      <c r="M143" s="97"/>
      <c r="N143" s="74">
        <f t="shared" si="57"/>
        <v>4.6739222222222217E-2</v>
      </c>
    </row>
    <row r="144" spans="1:14" s="43" customFormat="1" hidden="1" outlineLevel="1">
      <c r="A144" s="90" t="s">
        <v>278</v>
      </c>
      <c r="B144" s="91" t="s">
        <v>154</v>
      </c>
      <c r="C144" s="92" t="s">
        <v>155</v>
      </c>
      <c r="D144" s="91" t="s">
        <v>148</v>
      </c>
      <c r="E144" s="93">
        <v>2.6290999999999998E-2</v>
      </c>
      <c r="F144" s="93">
        <v>0.14021766666666666</v>
      </c>
      <c r="G144" s="94"/>
      <c r="H144" s="95">
        <v>8363</v>
      </c>
      <c r="I144" s="96"/>
      <c r="J144" s="96">
        <v>3518</v>
      </c>
      <c r="K144" s="96"/>
      <c r="L144" s="97"/>
      <c r="M144" s="97"/>
      <c r="N144" s="74">
        <f t="shared" si="57"/>
        <v>4.6739222222222217E-2</v>
      </c>
    </row>
    <row r="145" spans="1:14" s="43" customFormat="1" hidden="1" outlineLevel="2">
      <c r="A145" s="98" t="s">
        <v>278</v>
      </c>
      <c r="B145" s="99"/>
      <c r="C145" s="100" t="s">
        <v>152</v>
      </c>
      <c r="D145" s="101" t="s">
        <v>142</v>
      </c>
      <c r="E145" s="102">
        <v>2.6290999999999998E-2</v>
      </c>
      <c r="F145" s="102">
        <v>0.14021766666666666</v>
      </c>
      <c r="G145" s="103"/>
      <c r="H145" s="102">
        <v>2722</v>
      </c>
      <c r="I145" s="104"/>
      <c r="J145" s="104">
        <v>1145.02</v>
      </c>
      <c r="K145" s="96"/>
      <c r="L145" s="97"/>
      <c r="M145" s="97"/>
      <c r="N145" s="74">
        <f t="shared" si="57"/>
        <v>4.6739222222222217E-2</v>
      </c>
    </row>
    <row r="146" spans="1:14" s="43" customFormat="1" hidden="1" outlineLevel="1">
      <c r="A146" s="105" t="s">
        <v>279</v>
      </c>
      <c r="B146" s="106" t="s">
        <v>280</v>
      </c>
      <c r="C146" s="107" t="s">
        <v>281</v>
      </c>
      <c r="D146" s="106" t="s">
        <v>162</v>
      </c>
      <c r="E146" s="108">
        <v>0.19800000000000001</v>
      </c>
      <c r="F146" s="108">
        <v>1.056</v>
      </c>
      <c r="G146" s="109">
        <v>129</v>
      </c>
      <c r="H146" s="110"/>
      <c r="I146" s="111"/>
      <c r="J146" s="111"/>
      <c r="K146" s="111">
        <v>409</v>
      </c>
      <c r="L146" s="97"/>
      <c r="M146" s="97"/>
      <c r="N146" s="74">
        <f t="shared" si="57"/>
        <v>0.35200000000000004</v>
      </c>
    </row>
    <row r="147" spans="1:14" s="74" customFormat="1" ht="36" collapsed="1">
      <c r="A147" s="65" t="s">
        <v>70</v>
      </c>
      <c r="B147" s="66" t="s">
        <v>282</v>
      </c>
      <c r="C147" s="241" t="s">
        <v>283</v>
      </c>
      <c r="D147" s="68" t="s">
        <v>179</v>
      </c>
      <c r="E147" s="69"/>
      <c r="F147" s="112">
        <v>10.666666666666666</v>
      </c>
      <c r="G147" s="115">
        <v>43467.48</v>
      </c>
      <c r="H147" s="113"/>
      <c r="I147" s="72">
        <f t="shared" ref="I147" si="100">G147*F147</f>
        <v>463653.12</v>
      </c>
      <c r="J147" s="72">
        <f t="shared" ref="J147" si="101">H147*F147</f>
        <v>0</v>
      </c>
      <c r="K147" s="72">
        <f t="shared" ref="K147" si="102">I147-I148-J147</f>
        <v>463653.12</v>
      </c>
      <c r="L147" s="72">
        <f t="shared" ref="L147" si="103">(I148+J148)*E147</f>
        <v>0</v>
      </c>
      <c r="M147" s="73">
        <f t="shared" ref="M147" si="104">I147+L147+L148</f>
        <v>463653.12</v>
      </c>
      <c r="N147" s="74">
        <f t="shared" si="57"/>
        <v>3.5555555555555554</v>
      </c>
    </row>
    <row r="148" spans="1:14" s="74" customFormat="1">
      <c r="A148" s="75"/>
      <c r="B148" s="76"/>
      <c r="C148" s="77"/>
      <c r="D148" s="78"/>
      <c r="E148" s="79"/>
      <c r="F148" s="78"/>
      <c r="G148" s="114"/>
      <c r="H148" s="114"/>
      <c r="I148" s="81">
        <f t="shared" ref="I148" si="105">G148*F147</f>
        <v>0</v>
      </c>
      <c r="J148" s="81">
        <f t="shared" ref="J148" si="106">H148*F147</f>
        <v>0</v>
      </c>
      <c r="K148" s="81"/>
      <c r="L148" s="81"/>
      <c r="M148" s="81"/>
    </row>
    <row r="149" spans="1:14" s="74" customFormat="1" ht="36">
      <c r="A149" s="65" t="s">
        <v>72</v>
      </c>
      <c r="B149" s="66" t="s">
        <v>284</v>
      </c>
      <c r="C149" s="67" t="s">
        <v>285</v>
      </c>
      <c r="D149" s="68" t="s">
        <v>165</v>
      </c>
      <c r="E149" s="69"/>
      <c r="F149" s="70">
        <v>9.0666666666666664</v>
      </c>
      <c r="G149" s="71">
        <v>1799</v>
      </c>
      <c r="H149" s="71">
        <v>581</v>
      </c>
      <c r="I149" s="72">
        <f t="shared" ref="I149:I161" si="107">G149*F149</f>
        <v>16310.933333333332</v>
      </c>
      <c r="J149" s="72">
        <f t="shared" ref="J149:J161" si="108">H149*F149</f>
        <v>5267.7333333333336</v>
      </c>
      <c r="K149" s="72">
        <f t="shared" ref="K149:K161" si="109">I149-I150-J149</f>
        <v>1124.2666666666664</v>
      </c>
      <c r="L149" s="72">
        <f t="shared" ref="L149:L161" si="110">(I150+J150)*E149</f>
        <v>0</v>
      </c>
      <c r="M149" s="73">
        <f t="shared" ref="M149:M161" si="111">I149+L149+L150</f>
        <v>16310.933333333332</v>
      </c>
      <c r="N149" s="74">
        <f t="shared" si="57"/>
        <v>3.0222222222222221</v>
      </c>
    </row>
    <row r="150" spans="1:14" s="74" customFormat="1">
      <c r="A150" s="75"/>
      <c r="B150" s="76"/>
      <c r="C150" s="77"/>
      <c r="D150" s="78"/>
      <c r="E150" s="79"/>
      <c r="F150" s="78"/>
      <c r="G150" s="80">
        <v>1094</v>
      </c>
      <c r="H150" s="80">
        <v>138</v>
      </c>
      <c r="I150" s="81">
        <f t="shared" ref="I150:I162" si="112">G150*F149</f>
        <v>9918.9333333333325</v>
      </c>
      <c r="J150" s="81">
        <f t="shared" ref="J150:J162" si="113">H150*F149</f>
        <v>1251.2</v>
      </c>
      <c r="K150" s="81"/>
      <c r="L150" s="81"/>
      <c r="M150" s="81"/>
    </row>
    <row r="151" spans="1:14" s="43" customFormat="1" ht="21" hidden="1" outlineLevel="1">
      <c r="A151" s="82" t="s">
        <v>286</v>
      </c>
      <c r="B151" s="83" t="s">
        <v>287</v>
      </c>
      <c r="C151" s="84" t="s">
        <v>288</v>
      </c>
      <c r="D151" s="83" t="s">
        <v>142</v>
      </c>
      <c r="E151" s="85">
        <v>0.2177</v>
      </c>
      <c r="F151" s="85">
        <v>1.9738133333333332</v>
      </c>
      <c r="G151" s="86">
        <v>5026</v>
      </c>
      <c r="H151" s="87"/>
      <c r="I151" s="88">
        <f t="shared" si="107"/>
        <v>9920.3858133333324</v>
      </c>
      <c r="J151" s="88">
        <f t="shared" si="108"/>
        <v>0</v>
      </c>
      <c r="K151" s="88">
        <f t="shared" si="109"/>
        <v>9920.3858133333324</v>
      </c>
      <c r="L151" s="89">
        <f t="shared" si="110"/>
        <v>0</v>
      </c>
      <c r="M151" s="89">
        <f t="shared" si="111"/>
        <v>9920.3858133333324</v>
      </c>
      <c r="N151" s="74">
        <f t="shared" si="57"/>
        <v>0.65793777777777773</v>
      </c>
    </row>
    <row r="152" spans="1:14" s="43" customFormat="1" hidden="1" outlineLevel="1">
      <c r="A152" s="82" t="s">
        <v>289</v>
      </c>
      <c r="B152" s="83" t="s">
        <v>34</v>
      </c>
      <c r="C152" s="84" t="s">
        <v>144</v>
      </c>
      <c r="D152" s="83" t="s">
        <v>142</v>
      </c>
      <c r="E152" s="85">
        <v>0.05</v>
      </c>
      <c r="F152" s="85">
        <v>0.45333333333333337</v>
      </c>
      <c r="G152" s="89"/>
      <c r="H152" s="87"/>
      <c r="I152" s="88">
        <f t="shared" si="112"/>
        <v>0</v>
      </c>
      <c r="J152" s="88">
        <f t="shared" si="113"/>
        <v>0</v>
      </c>
      <c r="K152" s="88"/>
      <c r="L152" s="89"/>
      <c r="M152" s="89"/>
      <c r="N152" s="74">
        <f t="shared" si="57"/>
        <v>0.15111111111111111</v>
      </c>
    </row>
    <row r="153" spans="1:14" s="43" customFormat="1" hidden="1" outlineLevel="1">
      <c r="A153" s="90" t="s">
        <v>290</v>
      </c>
      <c r="B153" s="91" t="s">
        <v>291</v>
      </c>
      <c r="C153" s="92" t="s">
        <v>292</v>
      </c>
      <c r="D153" s="91" t="s">
        <v>148</v>
      </c>
      <c r="E153" s="93">
        <v>4.93248</v>
      </c>
      <c r="F153" s="93">
        <v>44.721151999999996</v>
      </c>
      <c r="G153" s="94"/>
      <c r="H153" s="95">
        <v>31</v>
      </c>
      <c r="I153" s="96">
        <f t="shared" si="107"/>
        <v>0</v>
      </c>
      <c r="J153" s="96">
        <f t="shared" si="108"/>
        <v>1386.3557119999998</v>
      </c>
      <c r="K153" s="96">
        <f t="shared" si="109"/>
        <v>-1386.3557119999998</v>
      </c>
      <c r="L153" s="97">
        <f t="shared" si="110"/>
        <v>1865276.8041802137</v>
      </c>
      <c r="M153" s="97">
        <f t="shared" si="111"/>
        <v>1865276.8041802137</v>
      </c>
      <c r="N153" s="74">
        <f t="shared" si="57"/>
        <v>14.907050666666665</v>
      </c>
    </row>
    <row r="154" spans="1:14" s="43" customFormat="1" ht="21.75" hidden="1" outlineLevel="1">
      <c r="A154" s="90" t="s">
        <v>293</v>
      </c>
      <c r="B154" s="91" t="s">
        <v>249</v>
      </c>
      <c r="C154" s="92" t="s">
        <v>250</v>
      </c>
      <c r="D154" s="91" t="s">
        <v>148</v>
      </c>
      <c r="E154" s="93">
        <v>4.9325000000000001E-2</v>
      </c>
      <c r="F154" s="93">
        <v>0.44721166666666662</v>
      </c>
      <c r="G154" s="94"/>
      <c r="H154" s="95">
        <v>8456</v>
      </c>
      <c r="I154" s="96">
        <f t="shared" si="112"/>
        <v>0</v>
      </c>
      <c r="J154" s="96">
        <f t="shared" si="113"/>
        <v>378162.06131199998</v>
      </c>
      <c r="K154" s="96"/>
      <c r="L154" s="97"/>
      <c r="M154" s="97"/>
      <c r="N154" s="74">
        <f t="shared" si="57"/>
        <v>0.14907055555555554</v>
      </c>
    </row>
    <row r="155" spans="1:14" s="43" customFormat="1" hidden="1" outlineLevel="2">
      <c r="A155" s="98" t="s">
        <v>293</v>
      </c>
      <c r="B155" s="99"/>
      <c r="C155" s="100" t="s">
        <v>152</v>
      </c>
      <c r="D155" s="101" t="s">
        <v>142</v>
      </c>
      <c r="E155" s="102">
        <v>4.9325000000000001E-2</v>
      </c>
      <c r="F155" s="102">
        <v>0.44721166666666662</v>
      </c>
      <c r="G155" s="103"/>
      <c r="H155" s="102">
        <v>2722</v>
      </c>
      <c r="I155" s="104">
        <f t="shared" si="107"/>
        <v>0</v>
      </c>
      <c r="J155" s="104">
        <f t="shared" si="108"/>
        <v>1217.3101566666664</v>
      </c>
      <c r="K155" s="96">
        <f t="shared" si="109"/>
        <v>-1217.3101566666664</v>
      </c>
      <c r="L155" s="97">
        <f t="shared" si="110"/>
        <v>184.47703737804164</v>
      </c>
      <c r="M155" s="97">
        <f t="shared" si="111"/>
        <v>184.47703737804164</v>
      </c>
      <c r="N155" s="74">
        <f t="shared" ref="N155:N162" si="114">F155/3</f>
        <v>0.14907055555555554</v>
      </c>
    </row>
    <row r="156" spans="1:14" s="43" customFormat="1" hidden="1" outlineLevel="1">
      <c r="A156" s="90" t="s">
        <v>294</v>
      </c>
      <c r="B156" s="91" t="s">
        <v>154</v>
      </c>
      <c r="C156" s="92" t="s">
        <v>155</v>
      </c>
      <c r="D156" s="91" t="s">
        <v>148</v>
      </c>
      <c r="E156" s="93">
        <v>1.3439999999999999E-3</v>
      </c>
      <c r="F156" s="93">
        <v>1.2185666666666666E-2</v>
      </c>
      <c r="G156" s="94"/>
      <c r="H156" s="95">
        <v>8363</v>
      </c>
      <c r="I156" s="96">
        <f t="shared" si="112"/>
        <v>0</v>
      </c>
      <c r="J156" s="96">
        <f t="shared" si="113"/>
        <v>3740.031168333333</v>
      </c>
      <c r="K156" s="96"/>
      <c r="L156" s="97"/>
      <c r="M156" s="97"/>
      <c r="N156" s="74">
        <f t="shared" si="114"/>
        <v>4.0618888888888883E-3</v>
      </c>
    </row>
    <row r="157" spans="1:14" s="43" customFormat="1" hidden="1" outlineLevel="2">
      <c r="A157" s="98" t="s">
        <v>294</v>
      </c>
      <c r="B157" s="99"/>
      <c r="C157" s="100" t="s">
        <v>152</v>
      </c>
      <c r="D157" s="101" t="s">
        <v>142</v>
      </c>
      <c r="E157" s="102">
        <v>1.3439999999999999E-3</v>
      </c>
      <c r="F157" s="102">
        <v>1.2185666666666666E-2</v>
      </c>
      <c r="G157" s="103"/>
      <c r="H157" s="102">
        <v>2722</v>
      </c>
      <c r="I157" s="104">
        <f t="shared" si="107"/>
        <v>0</v>
      </c>
      <c r="J157" s="104">
        <f t="shared" si="108"/>
        <v>33.169384666666666</v>
      </c>
      <c r="K157" s="96">
        <f t="shared" si="109"/>
        <v>-40.395485000000001</v>
      </c>
      <c r="L157" s="97">
        <f t="shared" si="110"/>
        <v>9.7118788479999985E-3</v>
      </c>
      <c r="M157" s="97">
        <f t="shared" si="111"/>
        <v>9.7118788479999985E-3</v>
      </c>
      <c r="N157" s="74">
        <f t="shared" si="114"/>
        <v>4.0618888888888883E-3</v>
      </c>
    </row>
    <row r="158" spans="1:14" s="43" customFormat="1" ht="21" hidden="1" outlineLevel="1">
      <c r="A158" s="105" t="s">
        <v>295</v>
      </c>
      <c r="B158" s="106" t="s">
        <v>296</v>
      </c>
      <c r="C158" s="107" t="s">
        <v>297</v>
      </c>
      <c r="D158" s="106" t="s">
        <v>162</v>
      </c>
      <c r="E158" s="108">
        <v>0.20899999999999999</v>
      </c>
      <c r="F158" s="108">
        <v>1.8949333333333334</v>
      </c>
      <c r="G158" s="109">
        <v>593</v>
      </c>
      <c r="H158" s="110"/>
      <c r="I158" s="111">
        <f t="shared" si="112"/>
        <v>7.2261003333333331</v>
      </c>
      <c r="J158" s="111">
        <f t="shared" si="113"/>
        <v>0</v>
      </c>
      <c r="K158" s="111"/>
      <c r="L158" s="97"/>
      <c r="M158" s="97"/>
      <c r="N158" s="74">
        <f t="shared" si="114"/>
        <v>0.63164444444444445</v>
      </c>
    </row>
    <row r="159" spans="1:14" s="74" customFormat="1" ht="36" collapsed="1">
      <c r="A159" s="65" t="s">
        <v>74</v>
      </c>
      <c r="B159" s="66" t="s">
        <v>282</v>
      </c>
      <c r="C159" s="241" t="s">
        <v>298</v>
      </c>
      <c r="D159" s="68" t="s">
        <v>162</v>
      </c>
      <c r="E159" s="69"/>
      <c r="F159" s="112">
        <v>26.666666666666668</v>
      </c>
      <c r="G159" s="115">
        <v>10452.27</v>
      </c>
      <c r="H159" s="113"/>
      <c r="I159" s="72">
        <f t="shared" si="107"/>
        <v>278727.2</v>
      </c>
      <c r="J159" s="72">
        <f t="shared" si="108"/>
        <v>0</v>
      </c>
      <c r="K159" s="72">
        <f t="shared" si="109"/>
        <v>278727.2</v>
      </c>
      <c r="L159" s="72">
        <f t="shared" si="110"/>
        <v>0</v>
      </c>
      <c r="M159" s="73">
        <f t="shared" si="111"/>
        <v>278727.2</v>
      </c>
      <c r="N159" s="74">
        <f t="shared" si="114"/>
        <v>8.8888888888888893</v>
      </c>
    </row>
    <row r="160" spans="1:14" s="74" customFormat="1">
      <c r="A160" s="75"/>
      <c r="B160" s="76"/>
      <c r="C160" s="77"/>
      <c r="D160" s="78"/>
      <c r="E160" s="79"/>
      <c r="F160" s="78"/>
      <c r="G160" s="114"/>
      <c r="H160" s="114"/>
      <c r="I160" s="81">
        <f t="shared" si="112"/>
        <v>0</v>
      </c>
      <c r="J160" s="81">
        <f t="shared" si="113"/>
        <v>0</v>
      </c>
      <c r="K160" s="81"/>
      <c r="L160" s="81"/>
      <c r="M160" s="81"/>
    </row>
    <row r="161" spans="1:16" s="74" customFormat="1" ht="48">
      <c r="A161" s="65" t="s">
        <v>76</v>
      </c>
      <c r="B161" s="66" t="s">
        <v>135</v>
      </c>
      <c r="C161" s="67" t="s">
        <v>299</v>
      </c>
      <c r="D161" s="68" t="s">
        <v>137</v>
      </c>
      <c r="E161" s="69"/>
      <c r="F161" s="70">
        <v>0.16250000000000001</v>
      </c>
      <c r="G161" s="71">
        <v>458904</v>
      </c>
      <c r="H161" s="71">
        <v>47489</v>
      </c>
      <c r="I161" s="72">
        <f t="shared" si="107"/>
        <v>74571.900000000009</v>
      </c>
      <c r="J161" s="72">
        <f t="shared" si="108"/>
        <v>7716.9625000000005</v>
      </c>
      <c r="K161" s="72">
        <f t="shared" si="109"/>
        <v>1286.6750000000111</v>
      </c>
      <c r="L161" s="72">
        <f t="shared" si="110"/>
        <v>0</v>
      </c>
      <c r="M161" s="73">
        <f t="shared" si="111"/>
        <v>74571.900000000009</v>
      </c>
      <c r="N161" s="74">
        <f t="shared" si="114"/>
        <v>5.4166666666666669E-2</v>
      </c>
    </row>
    <row r="162" spans="1:16" s="74" customFormat="1" ht="13.5" thickBot="1">
      <c r="A162" s="75"/>
      <c r="B162" s="76"/>
      <c r="C162" s="77"/>
      <c r="D162" s="78"/>
      <c r="E162" s="79"/>
      <c r="F162" s="78"/>
      <c r="G162" s="80">
        <v>403497</v>
      </c>
      <c r="H162" s="80">
        <v>13487</v>
      </c>
      <c r="I162" s="81">
        <f t="shared" si="112"/>
        <v>65568.262499999997</v>
      </c>
      <c r="J162" s="81">
        <f t="shared" si="113"/>
        <v>2191.6375000000003</v>
      </c>
      <c r="K162" s="81"/>
      <c r="L162" s="81"/>
      <c r="M162" s="81"/>
      <c r="N162" s="74">
        <f t="shared" si="114"/>
        <v>0</v>
      </c>
    </row>
    <row r="163" spans="1:16" s="43" customFormat="1" ht="21.75" hidden="1" outlineLevel="1" thickBot="1">
      <c r="A163" s="82" t="s">
        <v>300</v>
      </c>
      <c r="B163" s="83" t="s">
        <v>140</v>
      </c>
      <c r="C163" s="84" t="s">
        <v>141</v>
      </c>
      <c r="D163" s="83" t="s">
        <v>142</v>
      </c>
      <c r="E163" s="85">
        <v>74.555999999999997</v>
      </c>
      <c r="F163" s="85">
        <v>36.346049999999998</v>
      </c>
      <c r="G163" s="86">
        <v>5412</v>
      </c>
      <c r="H163" s="87"/>
      <c r="I163" s="88">
        <v>196705</v>
      </c>
      <c r="J163" s="88"/>
      <c r="K163" s="88"/>
      <c r="L163" s="89"/>
      <c r="M163" s="89"/>
    </row>
    <row r="164" spans="1:16" s="43" customFormat="1" ht="13.5" hidden="1" outlineLevel="1" thickBot="1">
      <c r="A164" s="82" t="s">
        <v>301</v>
      </c>
      <c r="B164" s="83" t="s">
        <v>34</v>
      </c>
      <c r="C164" s="84" t="s">
        <v>144</v>
      </c>
      <c r="D164" s="83" t="s">
        <v>142</v>
      </c>
      <c r="E164" s="85">
        <v>4.08</v>
      </c>
      <c r="F164" s="85">
        <v>1.9890000000000001</v>
      </c>
      <c r="G164" s="89"/>
      <c r="H164" s="87"/>
      <c r="I164" s="88"/>
      <c r="J164" s="88"/>
      <c r="K164" s="88"/>
      <c r="L164" s="89"/>
      <c r="M164" s="89"/>
    </row>
    <row r="165" spans="1:16" s="43" customFormat="1" ht="13.5" hidden="1" outlineLevel="1" thickBot="1">
      <c r="A165" s="90" t="s">
        <v>302</v>
      </c>
      <c r="B165" s="91" t="s">
        <v>146</v>
      </c>
      <c r="C165" s="92" t="s">
        <v>147</v>
      </c>
      <c r="D165" s="91" t="s">
        <v>148</v>
      </c>
      <c r="E165" s="93">
        <v>17.134799999999998</v>
      </c>
      <c r="F165" s="93">
        <v>8.3532150000000005</v>
      </c>
      <c r="G165" s="94"/>
      <c r="H165" s="95">
        <v>230</v>
      </c>
      <c r="I165" s="96"/>
      <c r="J165" s="96">
        <v>1921</v>
      </c>
      <c r="K165" s="96"/>
      <c r="L165" s="97"/>
      <c r="M165" s="97"/>
    </row>
    <row r="166" spans="1:16" s="43" customFormat="1" ht="21.75" hidden="1" outlineLevel="1" thickBot="1">
      <c r="A166" s="90" t="s">
        <v>303</v>
      </c>
      <c r="B166" s="91" t="s">
        <v>150</v>
      </c>
      <c r="C166" s="92" t="s">
        <v>151</v>
      </c>
      <c r="D166" s="91" t="s">
        <v>148</v>
      </c>
      <c r="E166" s="93">
        <v>2.0404800000000001</v>
      </c>
      <c r="F166" s="93">
        <v>0.99473400000000001</v>
      </c>
      <c r="G166" s="94"/>
      <c r="H166" s="95">
        <v>12979</v>
      </c>
      <c r="I166" s="96"/>
      <c r="J166" s="96">
        <v>12911</v>
      </c>
      <c r="K166" s="96"/>
      <c r="L166" s="97"/>
      <c r="M166" s="97"/>
    </row>
    <row r="167" spans="1:16" s="43" customFormat="1" ht="13.5" hidden="1" outlineLevel="2" thickBot="1">
      <c r="A167" s="98" t="s">
        <v>303</v>
      </c>
      <c r="B167" s="99"/>
      <c r="C167" s="100" t="s">
        <v>152</v>
      </c>
      <c r="D167" s="101" t="s">
        <v>142</v>
      </c>
      <c r="E167" s="102">
        <v>2.0404800000000001</v>
      </c>
      <c r="F167" s="102">
        <v>0.99473400000000001</v>
      </c>
      <c r="G167" s="103"/>
      <c r="H167" s="102">
        <v>3888</v>
      </c>
      <c r="I167" s="104"/>
      <c r="J167" s="104">
        <v>3867.53</v>
      </c>
      <c r="K167" s="96"/>
      <c r="L167" s="97"/>
      <c r="M167" s="97"/>
    </row>
    <row r="168" spans="1:16" s="43" customFormat="1" ht="13.5" hidden="1" outlineLevel="1" thickBot="1">
      <c r="A168" s="90" t="s">
        <v>304</v>
      </c>
      <c r="B168" s="91" t="s">
        <v>154</v>
      </c>
      <c r="C168" s="92" t="s">
        <v>155</v>
      </c>
      <c r="D168" s="91" t="s">
        <v>148</v>
      </c>
      <c r="E168" s="93">
        <v>2.0404800000000001</v>
      </c>
      <c r="F168" s="93">
        <v>0.99473400000000001</v>
      </c>
      <c r="G168" s="94"/>
      <c r="H168" s="95">
        <v>8363</v>
      </c>
      <c r="I168" s="96"/>
      <c r="J168" s="96">
        <v>8319</v>
      </c>
      <c r="K168" s="96"/>
      <c r="L168" s="97"/>
      <c r="M168" s="97"/>
    </row>
    <row r="169" spans="1:16" s="43" customFormat="1" ht="13.5" hidden="1" outlineLevel="2" thickBot="1">
      <c r="A169" s="98" t="s">
        <v>304</v>
      </c>
      <c r="B169" s="99"/>
      <c r="C169" s="100" t="s">
        <v>152</v>
      </c>
      <c r="D169" s="101" t="s">
        <v>142</v>
      </c>
      <c r="E169" s="102">
        <v>2.0404800000000001</v>
      </c>
      <c r="F169" s="102">
        <v>0.99473400000000001</v>
      </c>
      <c r="G169" s="103"/>
      <c r="H169" s="102">
        <v>2722</v>
      </c>
      <c r="I169" s="104"/>
      <c r="J169" s="104">
        <v>2707.67</v>
      </c>
      <c r="K169" s="96"/>
      <c r="L169" s="97"/>
      <c r="M169" s="97"/>
    </row>
    <row r="170" spans="1:16" s="43" customFormat="1" ht="13.5" hidden="1" outlineLevel="1" thickBot="1">
      <c r="A170" s="105" t="s">
        <v>305</v>
      </c>
      <c r="B170" s="106" t="s">
        <v>157</v>
      </c>
      <c r="C170" s="107" t="s">
        <v>158</v>
      </c>
      <c r="D170" s="106" t="s">
        <v>137</v>
      </c>
      <c r="E170" s="108">
        <v>2.5400000000000002E-3</v>
      </c>
      <c r="F170" s="108">
        <v>1.238E-3</v>
      </c>
      <c r="G170" s="109">
        <v>1510113</v>
      </c>
      <c r="H170" s="110"/>
      <c r="I170" s="111"/>
      <c r="J170" s="111"/>
      <c r="K170" s="111">
        <v>1870</v>
      </c>
      <c r="L170" s="97"/>
      <c r="M170" s="97"/>
    </row>
    <row r="171" spans="1:16" s="43" customFormat="1" ht="21.75" hidden="1" outlineLevel="1" thickBot="1">
      <c r="A171" s="105" t="s">
        <v>306</v>
      </c>
      <c r="B171" s="106" t="s">
        <v>160</v>
      </c>
      <c r="C171" s="107" t="s">
        <v>161</v>
      </c>
      <c r="D171" s="106" t="s">
        <v>162</v>
      </c>
      <c r="E171" s="108">
        <v>3.36</v>
      </c>
      <c r="F171" s="108">
        <v>1.6379999999999999</v>
      </c>
      <c r="G171" s="109">
        <v>1215</v>
      </c>
      <c r="H171" s="110"/>
      <c r="I171" s="111"/>
      <c r="J171" s="111"/>
      <c r="K171" s="111">
        <v>1990</v>
      </c>
      <c r="L171" s="97"/>
      <c r="M171" s="97"/>
    </row>
    <row r="172" spans="1:16" s="43" customFormat="1" ht="24.75" customHeight="1" collapsed="1" thickTop="1">
      <c r="A172" s="116"/>
      <c r="B172" s="117"/>
      <c r="C172" s="118" t="s">
        <v>307</v>
      </c>
      <c r="D172" s="119" t="s">
        <v>320</v>
      </c>
      <c r="E172" s="120"/>
      <c r="F172" s="197"/>
      <c r="G172" s="198"/>
      <c r="H172" s="198"/>
      <c r="I172" s="198">
        <f>I26+I37+I39+I50+I52+I61+I63+I72+I74+I86+I88+I90+I101+I103+I105+I117+I124+I134+I136+I147+I138+I149+I159+I161</f>
        <v>3785613.6382112</v>
      </c>
      <c r="J172" s="198">
        <f t="shared" ref="J172:L173" si="115">J26+J37+J39+J50+J52+J61+J63+J72+J74+J86+J88+J90+J101+J103+J105+J117+J124+J134+J136+J147+J138+J149+J159+J161</f>
        <v>117294.32799066667</v>
      </c>
      <c r="K172" s="198">
        <f t="shared" si="115"/>
        <v>2891490.2907701335</v>
      </c>
      <c r="L172" s="198">
        <f t="shared" si="115"/>
        <v>0</v>
      </c>
      <c r="M172" s="196">
        <f>M26+M37+M39+M50+M52+M61+M63+M72+M74+M86+M88+M90+M101+M103+M105+M117+M124+M134+M136+M147+M138+M149+M159+M161</f>
        <v>3785613.6382112</v>
      </c>
      <c r="N172" s="199"/>
      <c r="P172" s="200"/>
    </row>
    <row r="173" spans="1:16" s="43" customFormat="1">
      <c r="A173" s="124"/>
      <c r="B173" s="125"/>
      <c r="C173" s="126"/>
      <c r="D173" s="127"/>
      <c r="E173" s="128"/>
      <c r="F173" s="201"/>
      <c r="G173" s="202"/>
      <c r="H173" s="202"/>
      <c r="I173" s="202">
        <f>I27+I38+I40+I51+I53+I62+I64+I73+I75+I87+I89+I91+I102+I104+I106+I118+I125+I135+I137+I148+I139+I150+I160+I162</f>
        <v>776829.01945040002</v>
      </c>
      <c r="J173" s="202">
        <f t="shared" si="115"/>
        <v>31709.421795466664</v>
      </c>
      <c r="K173" s="202">
        <f t="shared" si="115"/>
        <v>0</v>
      </c>
      <c r="L173" s="202">
        <f t="shared" si="115"/>
        <v>0</v>
      </c>
      <c r="M173" s="202"/>
    </row>
    <row r="174" spans="1:16" s="43" customFormat="1" ht="12.75" customHeight="1">
      <c r="A174" s="131"/>
      <c r="B174" s="132"/>
      <c r="C174" s="133"/>
      <c r="D174" s="134"/>
      <c r="E174" s="135"/>
      <c r="F174" s="203"/>
      <c r="G174" s="204"/>
      <c r="H174" s="204"/>
      <c r="I174" s="204"/>
      <c r="J174" s="204"/>
      <c r="K174" s="204"/>
      <c r="L174" s="204"/>
      <c r="M174" s="204"/>
      <c r="O174" s="200">
        <f>K172*1.297256615</f>
        <v>3751004.906909829</v>
      </c>
    </row>
    <row r="175" spans="1:16" s="43" customFormat="1">
      <c r="A175" s="205"/>
      <c r="B175" s="320" t="s">
        <v>375</v>
      </c>
      <c r="C175" s="321"/>
      <c r="D175" s="206"/>
      <c r="E175" s="207"/>
      <c r="F175" s="208"/>
      <c r="G175" s="209"/>
      <c r="H175" s="209"/>
      <c r="I175" s="210">
        <f>K173</f>
        <v>0</v>
      </c>
      <c r="J175" s="210"/>
      <c r="K175" s="210"/>
      <c r="L175" s="210"/>
      <c r="M175" s="210"/>
    </row>
    <row r="176" spans="1:16" s="43" customFormat="1">
      <c r="A176" s="211"/>
      <c r="B176" s="320" t="s">
        <v>376</v>
      </c>
      <c r="C176" s="321"/>
      <c r="D176" s="212" t="s">
        <v>320</v>
      </c>
      <c r="E176" s="213"/>
      <c r="F176" s="214"/>
      <c r="G176" s="215"/>
      <c r="H176" s="215"/>
      <c r="I176" s="216">
        <f>K172</f>
        <v>2891490.2907701335</v>
      </c>
      <c r="J176" s="216"/>
      <c r="K176" s="216"/>
      <c r="L176" s="216"/>
      <c r="M176" s="216"/>
    </row>
    <row r="177" spans="1:16" s="43" customFormat="1">
      <c r="A177" s="217"/>
      <c r="B177" s="238"/>
      <c r="C177" s="238" t="s">
        <v>377</v>
      </c>
      <c r="D177" s="212" t="s">
        <v>320</v>
      </c>
      <c r="E177" s="213"/>
      <c r="F177" s="214"/>
      <c r="G177" s="215"/>
      <c r="H177" s="215"/>
      <c r="I177" s="216">
        <f>L172</f>
        <v>0</v>
      </c>
      <c r="J177" s="216"/>
      <c r="K177" s="216"/>
      <c r="L177" s="216"/>
      <c r="M177" s="216">
        <f>'[1]360040430_К9'!M194-'[1]КМ2 ЛС34 формула с коэфф.'!M194</f>
        <v>0</v>
      </c>
      <c r="N177" s="200"/>
    </row>
    <row r="178" spans="1:16" s="43" customFormat="1" ht="12.75" customHeight="1">
      <c r="A178" s="217"/>
      <c r="B178" s="238"/>
      <c r="C178" s="238" t="s">
        <v>378</v>
      </c>
      <c r="D178" s="212" t="s">
        <v>320</v>
      </c>
      <c r="E178" s="213"/>
      <c r="F178" s="214"/>
      <c r="G178" s="215"/>
      <c r="H178" s="215"/>
      <c r="I178" s="216">
        <f>L173</f>
        <v>0</v>
      </c>
      <c r="J178" s="216"/>
      <c r="K178" s="216"/>
      <c r="L178" s="216"/>
      <c r="M178" s="216"/>
      <c r="O178" s="219"/>
      <c r="P178" s="220"/>
    </row>
    <row r="179" spans="1:16" ht="12.75" customHeight="1">
      <c r="A179" s="211"/>
      <c r="B179" s="237"/>
      <c r="C179" s="238" t="s">
        <v>379</v>
      </c>
      <c r="D179" s="212" t="s">
        <v>320</v>
      </c>
      <c r="E179" s="213"/>
      <c r="F179" s="214"/>
      <c r="G179" s="215"/>
      <c r="H179" s="215"/>
      <c r="I179" s="216">
        <f>I172</f>
        <v>3785613.6382112</v>
      </c>
      <c r="J179" s="216"/>
      <c r="K179" s="216" t="s">
        <v>380</v>
      </c>
      <c r="L179" s="216" t="s">
        <v>381</v>
      </c>
      <c r="M179" s="216" t="s">
        <v>382</v>
      </c>
      <c r="N179" s="221">
        <f>I175*1.03*1.0958*0.989307</f>
        <v>0</v>
      </c>
      <c r="O179" s="222" t="s">
        <v>383</v>
      </c>
      <c r="P179" s="220"/>
    </row>
    <row r="180" spans="1:16" ht="12.75" customHeight="1">
      <c r="A180" s="223"/>
      <c r="B180" s="320" t="s">
        <v>384</v>
      </c>
      <c r="C180" s="320"/>
      <c r="D180" s="223"/>
      <c r="E180" s="224"/>
      <c r="F180" s="225"/>
      <c r="G180" s="226" t="s">
        <v>385</v>
      </c>
      <c r="H180" s="227">
        <v>0.108</v>
      </c>
      <c r="I180" s="228">
        <f>(I179-I175)*10.8%</f>
        <v>408846.27292680967</v>
      </c>
      <c r="J180" s="228"/>
      <c r="K180" s="228">
        <f>(I173+J172)*10.8%</f>
        <v>96565.321523635226</v>
      </c>
      <c r="L180" s="228">
        <f>I176*10.8%</f>
        <v>312280.95140317443</v>
      </c>
      <c r="M180" s="228"/>
      <c r="N180" s="229">
        <f>(((I176*10.8%)+(L181*5%)+(L181*3%)+I176)*1.0958)*0.989307</f>
        <v>3751004.9073388805</v>
      </c>
      <c r="O180" s="220" t="s">
        <v>386</v>
      </c>
    </row>
    <row r="181" spans="1:16" ht="12.75" customHeight="1">
      <c r="A181" s="223"/>
      <c r="B181" s="322" t="s">
        <v>387</v>
      </c>
      <c r="C181" s="322"/>
      <c r="D181" s="223"/>
      <c r="E181" s="224"/>
      <c r="F181" s="225"/>
      <c r="G181" s="226"/>
      <c r="H181" s="227"/>
      <c r="I181" s="228">
        <f>I179+I180</f>
        <v>4194459.9111380093</v>
      </c>
      <c r="J181" s="228"/>
      <c r="K181" s="228">
        <f>(I173+J172)+K180</f>
        <v>990688.66896470194</v>
      </c>
      <c r="L181" s="228">
        <f>I176+L180</f>
        <v>3203771.242173308</v>
      </c>
      <c r="M181" s="228"/>
      <c r="N181" s="229">
        <f>I186-N180-N179</f>
        <v>1159907.4272265402</v>
      </c>
      <c r="O181" s="220" t="s">
        <v>380</v>
      </c>
      <c r="P181" s="221"/>
    </row>
    <row r="182" spans="1:16" ht="12.75" customHeight="1">
      <c r="A182" s="223"/>
      <c r="B182" s="320" t="s">
        <v>388</v>
      </c>
      <c r="C182" s="320"/>
      <c r="D182" s="223"/>
      <c r="E182" s="224"/>
      <c r="F182" s="225"/>
      <c r="G182" s="226" t="s">
        <v>385</v>
      </c>
      <c r="H182" s="227">
        <v>0.05</v>
      </c>
      <c r="I182" s="228">
        <f>(I181-I175)*5%</f>
        <v>209722.99555690048</v>
      </c>
      <c r="J182" s="228"/>
      <c r="K182" s="228">
        <f>K181*5%</f>
        <v>49534.433448235097</v>
      </c>
      <c r="L182" s="228">
        <f>L181*5%</f>
        <v>160188.56210866541</v>
      </c>
      <c r="M182" s="228"/>
      <c r="N182" s="222"/>
    </row>
    <row r="183" spans="1:16">
      <c r="A183" s="223"/>
      <c r="B183" s="320" t="s">
        <v>389</v>
      </c>
      <c r="C183" s="320"/>
      <c r="D183" s="223"/>
      <c r="E183" s="224"/>
      <c r="F183" s="225"/>
      <c r="G183" s="226" t="s">
        <v>385</v>
      </c>
      <c r="H183" s="227">
        <v>0.03</v>
      </c>
      <c r="I183" s="228">
        <f>I181*H183</f>
        <v>125833.79733414027</v>
      </c>
      <c r="J183" s="228"/>
      <c r="K183" s="228">
        <f>K181*3%</f>
        <v>29720.660068941055</v>
      </c>
      <c r="L183" s="228">
        <f>L181*3%</f>
        <v>96113.137265199242</v>
      </c>
      <c r="M183" s="228">
        <f>(I175*3%)</f>
        <v>0</v>
      </c>
      <c r="N183" s="221"/>
    </row>
    <row r="184" spans="1:16" ht="12.75" customHeight="1">
      <c r="A184" s="223"/>
      <c r="B184" s="319" t="s">
        <v>390</v>
      </c>
      <c r="C184" s="319"/>
      <c r="D184" s="223"/>
      <c r="E184" s="224"/>
      <c r="F184" s="225"/>
      <c r="G184" s="226"/>
      <c r="H184" s="227"/>
      <c r="I184" s="228">
        <f>I181+I182+I183</f>
        <v>4530016.7040290497</v>
      </c>
      <c r="J184" s="228"/>
      <c r="K184" s="228">
        <f>K181+K182+K183</f>
        <v>1069943.762481878</v>
      </c>
      <c r="L184" s="228">
        <f t="shared" ref="L184" si="116">L181+L182+L183</f>
        <v>3460072.9415471726</v>
      </c>
      <c r="M184" s="228">
        <f>M181+M182+M183+I175</f>
        <v>0</v>
      </c>
      <c r="N184" s="222"/>
    </row>
    <row r="185" spans="1:16">
      <c r="A185" s="223"/>
      <c r="B185" s="320" t="s">
        <v>391</v>
      </c>
      <c r="C185" s="320"/>
      <c r="D185" s="223"/>
      <c r="E185" s="224"/>
      <c r="F185" s="225"/>
      <c r="G185" s="226" t="s">
        <v>385</v>
      </c>
      <c r="H185" s="230">
        <v>1.0958000000000001</v>
      </c>
      <c r="I185" s="228">
        <f>I184*H185</f>
        <v>4963992.3042750331</v>
      </c>
      <c r="J185" s="228"/>
      <c r="K185" s="228">
        <f>K184*1.0958</f>
        <v>1172444.3749276421</v>
      </c>
      <c r="L185" s="228">
        <f>L184*1.0958</f>
        <v>3791547.9293473922</v>
      </c>
      <c r="M185" s="228">
        <f t="shared" ref="M185" si="117">M184*1.0958</f>
        <v>0</v>
      </c>
      <c r="N185" s="221"/>
      <c r="P185" s="221"/>
    </row>
    <row r="186" spans="1:16" ht="14.25" customHeight="1">
      <c r="A186" s="223"/>
      <c r="B186" s="320" t="s">
        <v>392</v>
      </c>
      <c r="C186" s="320"/>
      <c r="D186" s="223"/>
      <c r="E186" s="224"/>
      <c r="F186" s="225"/>
      <c r="G186" s="226" t="s">
        <v>385</v>
      </c>
      <c r="H186" s="231">
        <v>0.98930700000000005</v>
      </c>
      <c r="I186" s="228">
        <f>I185*H186</f>
        <v>4910912.3345654206</v>
      </c>
      <c r="J186" s="228"/>
      <c r="K186" s="228">
        <f>K185*H186</f>
        <v>1159907.4272265409</v>
      </c>
      <c r="L186" s="228">
        <f>L185*H186</f>
        <v>3751004.9073388805</v>
      </c>
      <c r="M186" s="228">
        <f>M185*H186</f>
        <v>0</v>
      </c>
      <c r="N186" s="222"/>
    </row>
    <row r="187" spans="1:16">
      <c r="A187" s="223"/>
      <c r="B187" s="232" t="s">
        <v>393</v>
      </c>
      <c r="C187" s="232"/>
      <c r="D187" s="223"/>
      <c r="E187" s="224"/>
      <c r="F187" s="225"/>
      <c r="G187" s="226" t="s">
        <v>385</v>
      </c>
      <c r="H187" s="233">
        <v>0.12</v>
      </c>
      <c r="I187" s="228">
        <f>I186*H187</f>
        <v>589309.48014785047</v>
      </c>
      <c r="J187" s="228"/>
      <c r="K187" s="228"/>
      <c r="L187" s="228"/>
      <c r="M187" s="228"/>
      <c r="N187" s="222"/>
    </row>
    <row r="188" spans="1:16">
      <c r="A188" s="223"/>
      <c r="B188" s="319" t="s">
        <v>394</v>
      </c>
      <c r="C188" s="319"/>
      <c r="D188" s="223"/>
      <c r="E188" s="224"/>
      <c r="F188" s="225"/>
      <c r="G188" s="226"/>
      <c r="H188" s="226"/>
      <c r="I188" s="228">
        <f>I186+I187</f>
        <v>5500221.8147132713</v>
      </c>
      <c r="J188" s="228"/>
      <c r="K188" s="228"/>
      <c r="L188" s="228"/>
      <c r="M188" s="228"/>
      <c r="N188" s="222"/>
      <c r="P188" s="221"/>
    </row>
    <row r="189" spans="1:16" s="236" customFormat="1"/>
  </sheetData>
  <mergeCells count="34">
    <mergeCell ref="B188:C188"/>
    <mergeCell ref="F24:K24"/>
    <mergeCell ref="C25:D25"/>
    <mergeCell ref="B175:C175"/>
    <mergeCell ref="B176:C176"/>
    <mergeCell ref="B180:C180"/>
    <mergeCell ref="B181:C181"/>
    <mergeCell ref="B182:C182"/>
    <mergeCell ref="B183:C183"/>
    <mergeCell ref="B184:C184"/>
    <mergeCell ref="B185:C185"/>
    <mergeCell ref="B186:C186"/>
    <mergeCell ref="A23:M23"/>
    <mergeCell ref="C9:K9"/>
    <mergeCell ref="C11:M11"/>
    <mergeCell ref="C12:L12"/>
    <mergeCell ref="C14:M14"/>
    <mergeCell ref="A18:K18"/>
    <mergeCell ref="A19:A21"/>
    <mergeCell ref="B19:B21"/>
    <mergeCell ref="C19:C21"/>
    <mergeCell ref="D19:D21"/>
    <mergeCell ref="E19:F20"/>
    <mergeCell ref="G19:H19"/>
    <mergeCell ref="I19:K19"/>
    <mergeCell ref="L19:L20"/>
    <mergeCell ref="M19:M21"/>
    <mergeCell ref="E22:F22"/>
    <mergeCell ref="C3:M3"/>
    <mergeCell ref="C4:M4"/>
    <mergeCell ref="C5:M5"/>
    <mergeCell ref="C6:M6"/>
    <mergeCell ref="C8:G8"/>
    <mergeCell ref="H8:M8"/>
  </mergeCells>
  <printOptions horizontalCentered="1"/>
  <pageMargins left="0.59" right="0.39" top="0.59" bottom="0.59" header="0.39" footer="0.39"/>
  <pageSetup paperSize="9" scale="60" fitToHeight="10000" orientation="landscape" horizontalDpi="300" verticalDpi="300" r:id="rId1"/>
  <headerFooter>
    <oddHeader>&amp;L&amp;9Программный комплекс АВС (редакция 2023.10)&amp;C&amp;P&amp;R360014020</oddHeader>
    <oddFooter>&amp;CСтраниц -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89"/>
  <sheetViews>
    <sheetView showGridLines="0" tabSelected="1" topLeftCell="A150" workbookViewId="0">
      <selection activeCell="N180" sqref="N180"/>
    </sheetView>
  </sheetViews>
  <sheetFormatPr defaultRowHeight="12.75" outlineLevelRow="2" outlineLevelCol="1"/>
  <cols>
    <col min="1" max="1" width="5.7109375" style="53" customWidth="1"/>
    <col min="2" max="2" width="16.7109375" style="53" customWidth="1"/>
    <col min="3" max="3" width="53" style="53" customWidth="1"/>
    <col min="4" max="4" width="12.7109375" style="53" customWidth="1"/>
    <col min="5" max="5" width="10.7109375" style="53" customWidth="1" outlineLevel="1"/>
    <col min="6" max="6" width="10.7109375" style="53" customWidth="1"/>
    <col min="7" max="13" width="12.7109375" style="53" customWidth="1"/>
    <col min="14" max="14" width="12" style="53" customWidth="1"/>
    <col min="15" max="15" width="11.28515625" style="53" bestFit="1" customWidth="1"/>
    <col min="16" max="256" width="9.140625" style="53"/>
    <col min="257" max="257" width="5.7109375" style="53" customWidth="1"/>
    <col min="258" max="258" width="16.7109375" style="53" customWidth="1"/>
    <col min="259" max="259" width="53" style="53" customWidth="1"/>
    <col min="260" max="260" width="12.7109375" style="53" customWidth="1"/>
    <col min="261" max="262" width="10.7109375" style="53" customWidth="1"/>
    <col min="263" max="269" width="12.7109375" style="53" customWidth="1"/>
    <col min="270" max="512" width="9.140625" style="53"/>
    <col min="513" max="513" width="5.7109375" style="53" customWidth="1"/>
    <col min="514" max="514" width="16.7109375" style="53" customWidth="1"/>
    <col min="515" max="515" width="53" style="53" customWidth="1"/>
    <col min="516" max="516" width="12.7109375" style="53" customWidth="1"/>
    <col min="517" max="518" width="10.7109375" style="53" customWidth="1"/>
    <col min="519" max="525" width="12.7109375" style="53" customWidth="1"/>
    <col min="526" max="768" width="9.140625" style="53"/>
    <col min="769" max="769" width="5.7109375" style="53" customWidth="1"/>
    <col min="770" max="770" width="16.7109375" style="53" customWidth="1"/>
    <col min="771" max="771" width="53" style="53" customWidth="1"/>
    <col min="772" max="772" width="12.7109375" style="53" customWidth="1"/>
    <col min="773" max="774" width="10.7109375" style="53" customWidth="1"/>
    <col min="775" max="781" width="12.7109375" style="53" customWidth="1"/>
    <col min="782" max="1024" width="9.140625" style="53"/>
    <col min="1025" max="1025" width="5.7109375" style="53" customWidth="1"/>
    <col min="1026" max="1026" width="16.7109375" style="53" customWidth="1"/>
    <col min="1027" max="1027" width="53" style="53" customWidth="1"/>
    <col min="1028" max="1028" width="12.7109375" style="53" customWidth="1"/>
    <col min="1029" max="1030" width="10.7109375" style="53" customWidth="1"/>
    <col min="1031" max="1037" width="12.7109375" style="53" customWidth="1"/>
    <col min="1038" max="1280" width="9.140625" style="53"/>
    <col min="1281" max="1281" width="5.7109375" style="53" customWidth="1"/>
    <col min="1282" max="1282" width="16.7109375" style="53" customWidth="1"/>
    <col min="1283" max="1283" width="53" style="53" customWidth="1"/>
    <col min="1284" max="1284" width="12.7109375" style="53" customWidth="1"/>
    <col min="1285" max="1286" width="10.7109375" style="53" customWidth="1"/>
    <col min="1287" max="1293" width="12.7109375" style="53" customWidth="1"/>
    <col min="1294" max="1536" width="9.140625" style="53"/>
    <col min="1537" max="1537" width="5.7109375" style="53" customWidth="1"/>
    <col min="1538" max="1538" width="16.7109375" style="53" customWidth="1"/>
    <col min="1539" max="1539" width="53" style="53" customWidth="1"/>
    <col min="1540" max="1540" width="12.7109375" style="53" customWidth="1"/>
    <col min="1541" max="1542" width="10.7109375" style="53" customWidth="1"/>
    <col min="1543" max="1549" width="12.7109375" style="53" customWidth="1"/>
    <col min="1550" max="1792" width="9.140625" style="53"/>
    <col min="1793" max="1793" width="5.7109375" style="53" customWidth="1"/>
    <col min="1794" max="1794" width="16.7109375" style="53" customWidth="1"/>
    <col min="1795" max="1795" width="53" style="53" customWidth="1"/>
    <col min="1796" max="1796" width="12.7109375" style="53" customWidth="1"/>
    <col min="1797" max="1798" width="10.7109375" style="53" customWidth="1"/>
    <col min="1799" max="1805" width="12.7109375" style="53" customWidth="1"/>
    <col min="1806" max="2048" width="9.140625" style="53"/>
    <col min="2049" max="2049" width="5.7109375" style="53" customWidth="1"/>
    <col min="2050" max="2050" width="16.7109375" style="53" customWidth="1"/>
    <col min="2051" max="2051" width="53" style="53" customWidth="1"/>
    <col min="2052" max="2052" width="12.7109375" style="53" customWidth="1"/>
    <col min="2053" max="2054" width="10.7109375" style="53" customWidth="1"/>
    <col min="2055" max="2061" width="12.7109375" style="53" customWidth="1"/>
    <col min="2062" max="2304" width="9.140625" style="53"/>
    <col min="2305" max="2305" width="5.7109375" style="53" customWidth="1"/>
    <col min="2306" max="2306" width="16.7109375" style="53" customWidth="1"/>
    <col min="2307" max="2307" width="53" style="53" customWidth="1"/>
    <col min="2308" max="2308" width="12.7109375" style="53" customWidth="1"/>
    <col min="2309" max="2310" width="10.7109375" style="53" customWidth="1"/>
    <col min="2311" max="2317" width="12.7109375" style="53" customWidth="1"/>
    <col min="2318" max="2560" width="9.140625" style="53"/>
    <col min="2561" max="2561" width="5.7109375" style="53" customWidth="1"/>
    <col min="2562" max="2562" width="16.7109375" style="53" customWidth="1"/>
    <col min="2563" max="2563" width="53" style="53" customWidth="1"/>
    <col min="2564" max="2564" width="12.7109375" style="53" customWidth="1"/>
    <col min="2565" max="2566" width="10.7109375" style="53" customWidth="1"/>
    <col min="2567" max="2573" width="12.7109375" style="53" customWidth="1"/>
    <col min="2574" max="2816" width="9.140625" style="53"/>
    <col min="2817" max="2817" width="5.7109375" style="53" customWidth="1"/>
    <col min="2818" max="2818" width="16.7109375" style="53" customWidth="1"/>
    <col min="2819" max="2819" width="53" style="53" customWidth="1"/>
    <col min="2820" max="2820" width="12.7109375" style="53" customWidth="1"/>
    <col min="2821" max="2822" width="10.7109375" style="53" customWidth="1"/>
    <col min="2823" max="2829" width="12.7109375" style="53" customWidth="1"/>
    <col min="2830" max="3072" width="9.140625" style="53"/>
    <col min="3073" max="3073" width="5.7109375" style="53" customWidth="1"/>
    <col min="3074" max="3074" width="16.7109375" style="53" customWidth="1"/>
    <col min="3075" max="3075" width="53" style="53" customWidth="1"/>
    <col min="3076" max="3076" width="12.7109375" style="53" customWidth="1"/>
    <col min="3077" max="3078" width="10.7109375" style="53" customWidth="1"/>
    <col min="3079" max="3085" width="12.7109375" style="53" customWidth="1"/>
    <col min="3086" max="3328" width="9.140625" style="53"/>
    <col min="3329" max="3329" width="5.7109375" style="53" customWidth="1"/>
    <col min="3330" max="3330" width="16.7109375" style="53" customWidth="1"/>
    <col min="3331" max="3331" width="53" style="53" customWidth="1"/>
    <col min="3332" max="3332" width="12.7109375" style="53" customWidth="1"/>
    <col min="3333" max="3334" width="10.7109375" style="53" customWidth="1"/>
    <col min="3335" max="3341" width="12.7109375" style="53" customWidth="1"/>
    <col min="3342" max="3584" width="9.140625" style="53"/>
    <col min="3585" max="3585" width="5.7109375" style="53" customWidth="1"/>
    <col min="3586" max="3586" width="16.7109375" style="53" customWidth="1"/>
    <col min="3587" max="3587" width="53" style="53" customWidth="1"/>
    <col min="3588" max="3588" width="12.7109375" style="53" customWidth="1"/>
    <col min="3589" max="3590" width="10.7109375" style="53" customWidth="1"/>
    <col min="3591" max="3597" width="12.7109375" style="53" customWidth="1"/>
    <col min="3598" max="3840" width="9.140625" style="53"/>
    <col min="3841" max="3841" width="5.7109375" style="53" customWidth="1"/>
    <col min="3842" max="3842" width="16.7109375" style="53" customWidth="1"/>
    <col min="3843" max="3843" width="53" style="53" customWidth="1"/>
    <col min="3844" max="3844" width="12.7109375" style="53" customWidth="1"/>
    <col min="3845" max="3846" width="10.7109375" style="53" customWidth="1"/>
    <col min="3847" max="3853" width="12.7109375" style="53" customWidth="1"/>
    <col min="3854" max="4096" width="9.140625" style="53"/>
    <col min="4097" max="4097" width="5.7109375" style="53" customWidth="1"/>
    <col min="4098" max="4098" width="16.7109375" style="53" customWidth="1"/>
    <col min="4099" max="4099" width="53" style="53" customWidth="1"/>
    <col min="4100" max="4100" width="12.7109375" style="53" customWidth="1"/>
    <col min="4101" max="4102" width="10.7109375" style="53" customWidth="1"/>
    <col min="4103" max="4109" width="12.7109375" style="53" customWidth="1"/>
    <col min="4110" max="4352" width="9.140625" style="53"/>
    <col min="4353" max="4353" width="5.7109375" style="53" customWidth="1"/>
    <col min="4354" max="4354" width="16.7109375" style="53" customWidth="1"/>
    <col min="4355" max="4355" width="53" style="53" customWidth="1"/>
    <col min="4356" max="4356" width="12.7109375" style="53" customWidth="1"/>
    <col min="4357" max="4358" width="10.7109375" style="53" customWidth="1"/>
    <col min="4359" max="4365" width="12.7109375" style="53" customWidth="1"/>
    <col min="4366" max="4608" width="9.140625" style="53"/>
    <col min="4609" max="4609" width="5.7109375" style="53" customWidth="1"/>
    <col min="4610" max="4610" width="16.7109375" style="53" customWidth="1"/>
    <col min="4611" max="4611" width="53" style="53" customWidth="1"/>
    <col min="4612" max="4612" width="12.7109375" style="53" customWidth="1"/>
    <col min="4613" max="4614" width="10.7109375" style="53" customWidth="1"/>
    <col min="4615" max="4621" width="12.7109375" style="53" customWidth="1"/>
    <col min="4622" max="4864" width="9.140625" style="53"/>
    <col min="4865" max="4865" width="5.7109375" style="53" customWidth="1"/>
    <col min="4866" max="4866" width="16.7109375" style="53" customWidth="1"/>
    <col min="4867" max="4867" width="53" style="53" customWidth="1"/>
    <col min="4868" max="4868" width="12.7109375" style="53" customWidth="1"/>
    <col min="4869" max="4870" width="10.7109375" style="53" customWidth="1"/>
    <col min="4871" max="4877" width="12.7109375" style="53" customWidth="1"/>
    <col min="4878" max="5120" width="9.140625" style="53"/>
    <col min="5121" max="5121" width="5.7109375" style="53" customWidth="1"/>
    <col min="5122" max="5122" width="16.7109375" style="53" customWidth="1"/>
    <col min="5123" max="5123" width="53" style="53" customWidth="1"/>
    <col min="5124" max="5124" width="12.7109375" style="53" customWidth="1"/>
    <col min="5125" max="5126" width="10.7109375" style="53" customWidth="1"/>
    <col min="5127" max="5133" width="12.7109375" style="53" customWidth="1"/>
    <col min="5134" max="5376" width="9.140625" style="53"/>
    <col min="5377" max="5377" width="5.7109375" style="53" customWidth="1"/>
    <col min="5378" max="5378" width="16.7109375" style="53" customWidth="1"/>
    <col min="5379" max="5379" width="53" style="53" customWidth="1"/>
    <col min="5380" max="5380" width="12.7109375" style="53" customWidth="1"/>
    <col min="5381" max="5382" width="10.7109375" style="53" customWidth="1"/>
    <col min="5383" max="5389" width="12.7109375" style="53" customWidth="1"/>
    <col min="5390" max="5632" width="9.140625" style="53"/>
    <col min="5633" max="5633" width="5.7109375" style="53" customWidth="1"/>
    <col min="5634" max="5634" width="16.7109375" style="53" customWidth="1"/>
    <col min="5635" max="5635" width="53" style="53" customWidth="1"/>
    <col min="5636" max="5636" width="12.7109375" style="53" customWidth="1"/>
    <col min="5637" max="5638" width="10.7109375" style="53" customWidth="1"/>
    <col min="5639" max="5645" width="12.7109375" style="53" customWidth="1"/>
    <col min="5646" max="5888" width="9.140625" style="53"/>
    <col min="5889" max="5889" width="5.7109375" style="53" customWidth="1"/>
    <col min="5890" max="5890" width="16.7109375" style="53" customWidth="1"/>
    <col min="5891" max="5891" width="53" style="53" customWidth="1"/>
    <col min="5892" max="5892" width="12.7109375" style="53" customWidth="1"/>
    <col min="5893" max="5894" width="10.7109375" style="53" customWidth="1"/>
    <col min="5895" max="5901" width="12.7109375" style="53" customWidth="1"/>
    <col min="5902" max="6144" width="9.140625" style="53"/>
    <col min="6145" max="6145" width="5.7109375" style="53" customWidth="1"/>
    <col min="6146" max="6146" width="16.7109375" style="53" customWidth="1"/>
    <col min="6147" max="6147" width="53" style="53" customWidth="1"/>
    <col min="6148" max="6148" width="12.7109375" style="53" customWidth="1"/>
    <col min="6149" max="6150" width="10.7109375" style="53" customWidth="1"/>
    <col min="6151" max="6157" width="12.7109375" style="53" customWidth="1"/>
    <col min="6158" max="6400" width="9.140625" style="53"/>
    <col min="6401" max="6401" width="5.7109375" style="53" customWidth="1"/>
    <col min="6402" max="6402" width="16.7109375" style="53" customWidth="1"/>
    <col min="6403" max="6403" width="53" style="53" customWidth="1"/>
    <col min="6404" max="6404" width="12.7109375" style="53" customWidth="1"/>
    <col min="6405" max="6406" width="10.7109375" style="53" customWidth="1"/>
    <col min="6407" max="6413" width="12.7109375" style="53" customWidth="1"/>
    <col min="6414" max="6656" width="9.140625" style="53"/>
    <col min="6657" max="6657" width="5.7109375" style="53" customWidth="1"/>
    <col min="6658" max="6658" width="16.7109375" style="53" customWidth="1"/>
    <col min="6659" max="6659" width="53" style="53" customWidth="1"/>
    <col min="6660" max="6660" width="12.7109375" style="53" customWidth="1"/>
    <col min="6661" max="6662" width="10.7109375" style="53" customWidth="1"/>
    <col min="6663" max="6669" width="12.7109375" style="53" customWidth="1"/>
    <col min="6670" max="6912" width="9.140625" style="53"/>
    <col min="6913" max="6913" width="5.7109375" style="53" customWidth="1"/>
    <col min="6914" max="6914" width="16.7109375" style="53" customWidth="1"/>
    <col min="6915" max="6915" width="53" style="53" customWidth="1"/>
    <col min="6916" max="6916" width="12.7109375" style="53" customWidth="1"/>
    <col min="6917" max="6918" width="10.7109375" style="53" customWidth="1"/>
    <col min="6919" max="6925" width="12.7109375" style="53" customWidth="1"/>
    <col min="6926" max="7168" width="9.140625" style="53"/>
    <col min="7169" max="7169" width="5.7109375" style="53" customWidth="1"/>
    <col min="7170" max="7170" width="16.7109375" style="53" customWidth="1"/>
    <col min="7171" max="7171" width="53" style="53" customWidth="1"/>
    <col min="7172" max="7172" width="12.7109375" style="53" customWidth="1"/>
    <col min="7173" max="7174" width="10.7109375" style="53" customWidth="1"/>
    <col min="7175" max="7181" width="12.7109375" style="53" customWidth="1"/>
    <col min="7182" max="7424" width="9.140625" style="53"/>
    <col min="7425" max="7425" width="5.7109375" style="53" customWidth="1"/>
    <col min="7426" max="7426" width="16.7109375" style="53" customWidth="1"/>
    <col min="7427" max="7427" width="53" style="53" customWidth="1"/>
    <col min="7428" max="7428" width="12.7109375" style="53" customWidth="1"/>
    <col min="7429" max="7430" width="10.7109375" style="53" customWidth="1"/>
    <col min="7431" max="7437" width="12.7109375" style="53" customWidth="1"/>
    <col min="7438" max="7680" width="9.140625" style="53"/>
    <col min="7681" max="7681" width="5.7109375" style="53" customWidth="1"/>
    <col min="7682" max="7682" width="16.7109375" style="53" customWidth="1"/>
    <col min="7683" max="7683" width="53" style="53" customWidth="1"/>
    <col min="7684" max="7684" width="12.7109375" style="53" customWidth="1"/>
    <col min="7685" max="7686" width="10.7109375" style="53" customWidth="1"/>
    <col min="7687" max="7693" width="12.7109375" style="53" customWidth="1"/>
    <col min="7694" max="7936" width="9.140625" style="53"/>
    <col min="7937" max="7937" width="5.7109375" style="53" customWidth="1"/>
    <col min="7938" max="7938" width="16.7109375" style="53" customWidth="1"/>
    <col min="7939" max="7939" width="53" style="53" customWidth="1"/>
    <col min="7940" max="7940" width="12.7109375" style="53" customWidth="1"/>
    <col min="7941" max="7942" width="10.7109375" style="53" customWidth="1"/>
    <col min="7943" max="7949" width="12.7109375" style="53" customWidth="1"/>
    <col min="7950" max="8192" width="9.140625" style="53"/>
    <col min="8193" max="8193" width="5.7109375" style="53" customWidth="1"/>
    <col min="8194" max="8194" width="16.7109375" style="53" customWidth="1"/>
    <col min="8195" max="8195" width="53" style="53" customWidth="1"/>
    <col min="8196" max="8196" width="12.7109375" style="53" customWidth="1"/>
    <col min="8197" max="8198" width="10.7109375" style="53" customWidth="1"/>
    <col min="8199" max="8205" width="12.7109375" style="53" customWidth="1"/>
    <col min="8206" max="8448" width="9.140625" style="53"/>
    <col min="8449" max="8449" width="5.7109375" style="53" customWidth="1"/>
    <col min="8450" max="8450" width="16.7109375" style="53" customWidth="1"/>
    <col min="8451" max="8451" width="53" style="53" customWidth="1"/>
    <col min="8452" max="8452" width="12.7109375" style="53" customWidth="1"/>
    <col min="8453" max="8454" width="10.7109375" style="53" customWidth="1"/>
    <col min="8455" max="8461" width="12.7109375" style="53" customWidth="1"/>
    <col min="8462" max="8704" width="9.140625" style="53"/>
    <col min="8705" max="8705" width="5.7109375" style="53" customWidth="1"/>
    <col min="8706" max="8706" width="16.7109375" style="53" customWidth="1"/>
    <col min="8707" max="8707" width="53" style="53" customWidth="1"/>
    <col min="8708" max="8708" width="12.7109375" style="53" customWidth="1"/>
    <col min="8709" max="8710" width="10.7109375" style="53" customWidth="1"/>
    <col min="8711" max="8717" width="12.7109375" style="53" customWidth="1"/>
    <col min="8718" max="8960" width="9.140625" style="53"/>
    <col min="8961" max="8961" width="5.7109375" style="53" customWidth="1"/>
    <col min="8962" max="8962" width="16.7109375" style="53" customWidth="1"/>
    <col min="8963" max="8963" width="53" style="53" customWidth="1"/>
    <col min="8964" max="8964" width="12.7109375" style="53" customWidth="1"/>
    <col min="8965" max="8966" width="10.7109375" style="53" customWidth="1"/>
    <col min="8967" max="8973" width="12.7109375" style="53" customWidth="1"/>
    <col min="8974" max="9216" width="9.140625" style="53"/>
    <col min="9217" max="9217" width="5.7109375" style="53" customWidth="1"/>
    <col min="9218" max="9218" width="16.7109375" style="53" customWidth="1"/>
    <col min="9219" max="9219" width="53" style="53" customWidth="1"/>
    <col min="9220" max="9220" width="12.7109375" style="53" customWidth="1"/>
    <col min="9221" max="9222" width="10.7109375" style="53" customWidth="1"/>
    <col min="9223" max="9229" width="12.7109375" style="53" customWidth="1"/>
    <col min="9230" max="9472" width="9.140625" style="53"/>
    <col min="9473" max="9473" width="5.7109375" style="53" customWidth="1"/>
    <col min="9474" max="9474" width="16.7109375" style="53" customWidth="1"/>
    <col min="9475" max="9475" width="53" style="53" customWidth="1"/>
    <col min="9476" max="9476" width="12.7109375" style="53" customWidth="1"/>
    <col min="9477" max="9478" width="10.7109375" style="53" customWidth="1"/>
    <col min="9479" max="9485" width="12.7109375" style="53" customWidth="1"/>
    <col min="9486" max="9728" width="9.140625" style="53"/>
    <col min="9729" max="9729" width="5.7109375" style="53" customWidth="1"/>
    <col min="9730" max="9730" width="16.7109375" style="53" customWidth="1"/>
    <col min="9731" max="9731" width="53" style="53" customWidth="1"/>
    <col min="9732" max="9732" width="12.7109375" style="53" customWidth="1"/>
    <col min="9733" max="9734" width="10.7109375" style="53" customWidth="1"/>
    <col min="9735" max="9741" width="12.7109375" style="53" customWidth="1"/>
    <col min="9742" max="9984" width="9.140625" style="53"/>
    <col min="9985" max="9985" width="5.7109375" style="53" customWidth="1"/>
    <col min="9986" max="9986" width="16.7109375" style="53" customWidth="1"/>
    <col min="9987" max="9987" width="53" style="53" customWidth="1"/>
    <col min="9988" max="9988" width="12.7109375" style="53" customWidth="1"/>
    <col min="9989" max="9990" width="10.7109375" style="53" customWidth="1"/>
    <col min="9991" max="9997" width="12.7109375" style="53" customWidth="1"/>
    <col min="9998" max="10240" width="9.140625" style="53"/>
    <col min="10241" max="10241" width="5.7109375" style="53" customWidth="1"/>
    <col min="10242" max="10242" width="16.7109375" style="53" customWidth="1"/>
    <col min="10243" max="10243" width="53" style="53" customWidth="1"/>
    <col min="10244" max="10244" width="12.7109375" style="53" customWidth="1"/>
    <col min="10245" max="10246" width="10.7109375" style="53" customWidth="1"/>
    <col min="10247" max="10253" width="12.7109375" style="53" customWidth="1"/>
    <col min="10254" max="10496" width="9.140625" style="53"/>
    <col min="10497" max="10497" width="5.7109375" style="53" customWidth="1"/>
    <col min="10498" max="10498" width="16.7109375" style="53" customWidth="1"/>
    <col min="10499" max="10499" width="53" style="53" customWidth="1"/>
    <col min="10500" max="10500" width="12.7109375" style="53" customWidth="1"/>
    <col min="10501" max="10502" width="10.7109375" style="53" customWidth="1"/>
    <col min="10503" max="10509" width="12.7109375" style="53" customWidth="1"/>
    <col min="10510" max="10752" width="9.140625" style="53"/>
    <col min="10753" max="10753" width="5.7109375" style="53" customWidth="1"/>
    <col min="10754" max="10754" width="16.7109375" style="53" customWidth="1"/>
    <col min="10755" max="10755" width="53" style="53" customWidth="1"/>
    <col min="10756" max="10756" width="12.7109375" style="53" customWidth="1"/>
    <col min="10757" max="10758" width="10.7109375" style="53" customWidth="1"/>
    <col min="10759" max="10765" width="12.7109375" style="53" customWidth="1"/>
    <col min="10766" max="11008" width="9.140625" style="53"/>
    <col min="11009" max="11009" width="5.7109375" style="53" customWidth="1"/>
    <col min="11010" max="11010" width="16.7109375" style="53" customWidth="1"/>
    <col min="11011" max="11011" width="53" style="53" customWidth="1"/>
    <col min="11012" max="11012" width="12.7109375" style="53" customWidth="1"/>
    <col min="11013" max="11014" width="10.7109375" style="53" customWidth="1"/>
    <col min="11015" max="11021" width="12.7109375" style="53" customWidth="1"/>
    <col min="11022" max="11264" width="9.140625" style="53"/>
    <col min="11265" max="11265" width="5.7109375" style="53" customWidth="1"/>
    <col min="11266" max="11266" width="16.7109375" style="53" customWidth="1"/>
    <col min="11267" max="11267" width="53" style="53" customWidth="1"/>
    <col min="11268" max="11268" width="12.7109375" style="53" customWidth="1"/>
    <col min="11269" max="11270" width="10.7109375" style="53" customWidth="1"/>
    <col min="11271" max="11277" width="12.7109375" style="53" customWidth="1"/>
    <col min="11278" max="11520" width="9.140625" style="53"/>
    <col min="11521" max="11521" width="5.7109375" style="53" customWidth="1"/>
    <col min="11522" max="11522" width="16.7109375" style="53" customWidth="1"/>
    <col min="11523" max="11523" width="53" style="53" customWidth="1"/>
    <col min="11524" max="11524" width="12.7109375" style="53" customWidth="1"/>
    <col min="11525" max="11526" width="10.7109375" style="53" customWidth="1"/>
    <col min="11527" max="11533" width="12.7109375" style="53" customWidth="1"/>
    <col min="11534" max="11776" width="9.140625" style="53"/>
    <col min="11777" max="11777" width="5.7109375" style="53" customWidth="1"/>
    <col min="11778" max="11778" width="16.7109375" style="53" customWidth="1"/>
    <col min="11779" max="11779" width="53" style="53" customWidth="1"/>
    <col min="11780" max="11780" width="12.7109375" style="53" customWidth="1"/>
    <col min="11781" max="11782" width="10.7109375" style="53" customWidth="1"/>
    <col min="11783" max="11789" width="12.7109375" style="53" customWidth="1"/>
    <col min="11790" max="12032" width="9.140625" style="53"/>
    <col min="12033" max="12033" width="5.7109375" style="53" customWidth="1"/>
    <col min="12034" max="12034" width="16.7109375" style="53" customWidth="1"/>
    <col min="12035" max="12035" width="53" style="53" customWidth="1"/>
    <col min="12036" max="12036" width="12.7109375" style="53" customWidth="1"/>
    <col min="12037" max="12038" width="10.7109375" style="53" customWidth="1"/>
    <col min="12039" max="12045" width="12.7109375" style="53" customWidth="1"/>
    <col min="12046" max="12288" width="9.140625" style="53"/>
    <col min="12289" max="12289" width="5.7109375" style="53" customWidth="1"/>
    <col min="12290" max="12290" width="16.7109375" style="53" customWidth="1"/>
    <col min="12291" max="12291" width="53" style="53" customWidth="1"/>
    <col min="12292" max="12292" width="12.7109375" style="53" customWidth="1"/>
    <col min="12293" max="12294" width="10.7109375" style="53" customWidth="1"/>
    <col min="12295" max="12301" width="12.7109375" style="53" customWidth="1"/>
    <col min="12302" max="12544" width="9.140625" style="53"/>
    <col min="12545" max="12545" width="5.7109375" style="53" customWidth="1"/>
    <col min="12546" max="12546" width="16.7109375" style="53" customWidth="1"/>
    <col min="12547" max="12547" width="53" style="53" customWidth="1"/>
    <col min="12548" max="12548" width="12.7109375" style="53" customWidth="1"/>
    <col min="12549" max="12550" width="10.7109375" style="53" customWidth="1"/>
    <col min="12551" max="12557" width="12.7109375" style="53" customWidth="1"/>
    <col min="12558" max="12800" width="9.140625" style="53"/>
    <col min="12801" max="12801" width="5.7109375" style="53" customWidth="1"/>
    <col min="12802" max="12802" width="16.7109375" style="53" customWidth="1"/>
    <col min="12803" max="12803" width="53" style="53" customWidth="1"/>
    <col min="12804" max="12804" width="12.7109375" style="53" customWidth="1"/>
    <col min="12805" max="12806" width="10.7109375" style="53" customWidth="1"/>
    <col min="12807" max="12813" width="12.7109375" style="53" customWidth="1"/>
    <col min="12814" max="13056" width="9.140625" style="53"/>
    <col min="13057" max="13057" width="5.7109375" style="53" customWidth="1"/>
    <col min="13058" max="13058" width="16.7109375" style="53" customWidth="1"/>
    <col min="13059" max="13059" width="53" style="53" customWidth="1"/>
    <col min="13060" max="13060" width="12.7109375" style="53" customWidth="1"/>
    <col min="13061" max="13062" width="10.7109375" style="53" customWidth="1"/>
    <col min="13063" max="13069" width="12.7109375" style="53" customWidth="1"/>
    <col min="13070" max="13312" width="9.140625" style="53"/>
    <col min="13313" max="13313" width="5.7109375" style="53" customWidth="1"/>
    <col min="13314" max="13314" width="16.7109375" style="53" customWidth="1"/>
    <col min="13315" max="13315" width="53" style="53" customWidth="1"/>
    <col min="13316" max="13316" width="12.7109375" style="53" customWidth="1"/>
    <col min="13317" max="13318" width="10.7109375" style="53" customWidth="1"/>
    <col min="13319" max="13325" width="12.7109375" style="53" customWidth="1"/>
    <col min="13326" max="13568" width="9.140625" style="53"/>
    <col min="13569" max="13569" width="5.7109375" style="53" customWidth="1"/>
    <col min="13570" max="13570" width="16.7109375" style="53" customWidth="1"/>
    <col min="13571" max="13571" width="53" style="53" customWidth="1"/>
    <col min="13572" max="13572" width="12.7109375" style="53" customWidth="1"/>
    <col min="13573" max="13574" width="10.7109375" style="53" customWidth="1"/>
    <col min="13575" max="13581" width="12.7109375" style="53" customWidth="1"/>
    <col min="13582" max="13824" width="9.140625" style="53"/>
    <col min="13825" max="13825" width="5.7109375" style="53" customWidth="1"/>
    <col min="13826" max="13826" width="16.7109375" style="53" customWidth="1"/>
    <col min="13827" max="13827" width="53" style="53" customWidth="1"/>
    <col min="13828" max="13828" width="12.7109375" style="53" customWidth="1"/>
    <col min="13829" max="13830" width="10.7109375" style="53" customWidth="1"/>
    <col min="13831" max="13837" width="12.7109375" style="53" customWidth="1"/>
    <col min="13838" max="14080" width="9.140625" style="53"/>
    <col min="14081" max="14081" width="5.7109375" style="53" customWidth="1"/>
    <col min="14082" max="14082" width="16.7109375" style="53" customWidth="1"/>
    <col min="14083" max="14083" width="53" style="53" customWidth="1"/>
    <col min="14084" max="14084" width="12.7109375" style="53" customWidth="1"/>
    <col min="14085" max="14086" width="10.7109375" style="53" customWidth="1"/>
    <col min="14087" max="14093" width="12.7109375" style="53" customWidth="1"/>
    <col min="14094" max="14336" width="9.140625" style="53"/>
    <col min="14337" max="14337" width="5.7109375" style="53" customWidth="1"/>
    <col min="14338" max="14338" width="16.7109375" style="53" customWidth="1"/>
    <col min="14339" max="14339" width="53" style="53" customWidth="1"/>
    <col min="14340" max="14340" width="12.7109375" style="53" customWidth="1"/>
    <col min="14341" max="14342" width="10.7109375" style="53" customWidth="1"/>
    <col min="14343" max="14349" width="12.7109375" style="53" customWidth="1"/>
    <col min="14350" max="14592" width="9.140625" style="53"/>
    <col min="14593" max="14593" width="5.7109375" style="53" customWidth="1"/>
    <col min="14594" max="14594" width="16.7109375" style="53" customWidth="1"/>
    <col min="14595" max="14595" width="53" style="53" customWidth="1"/>
    <col min="14596" max="14596" width="12.7109375" style="53" customWidth="1"/>
    <col min="14597" max="14598" width="10.7109375" style="53" customWidth="1"/>
    <col min="14599" max="14605" width="12.7109375" style="53" customWidth="1"/>
    <col min="14606" max="14848" width="9.140625" style="53"/>
    <col min="14849" max="14849" width="5.7109375" style="53" customWidth="1"/>
    <col min="14850" max="14850" width="16.7109375" style="53" customWidth="1"/>
    <col min="14851" max="14851" width="53" style="53" customWidth="1"/>
    <col min="14852" max="14852" width="12.7109375" style="53" customWidth="1"/>
    <col min="14853" max="14854" width="10.7109375" style="53" customWidth="1"/>
    <col min="14855" max="14861" width="12.7109375" style="53" customWidth="1"/>
    <col min="14862" max="15104" width="9.140625" style="53"/>
    <col min="15105" max="15105" width="5.7109375" style="53" customWidth="1"/>
    <col min="15106" max="15106" width="16.7109375" style="53" customWidth="1"/>
    <col min="15107" max="15107" width="53" style="53" customWidth="1"/>
    <col min="15108" max="15108" width="12.7109375" style="53" customWidth="1"/>
    <col min="15109" max="15110" width="10.7109375" style="53" customWidth="1"/>
    <col min="15111" max="15117" width="12.7109375" style="53" customWidth="1"/>
    <col min="15118" max="15360" width="9.140625" style="53"/>
    <col min="15361" max="15361" width="5.7109375" style="53" customWidth="1"/>
    <col min="15362" max="15362" width="16.7109375" style="53" customWidth="1"/>
    <col min="15363" max="15363" width="53" style="53" customWidth="1"/>
    <col min="15364" max="15364" width="12.7109375" style="53" customWidth="1"/>
    <col min="15365" max="15366" width="10.7109375" style="53" customWidth="1"/>
    <col min="15367" max="15373" width="12.7109375" style="53" customWidth="1"/>
    <col min="15374" max="15616" width="9.140625" style="53"/>
    <col min="15617" max="15617" width="5.7109375" style="53" customWidth="1"/>
    <col min="15618" max="15618" width="16.7109375" style="53" customWidth="1"/>
    <col min="15619" max="15619" width="53" style="53" customWidth="1"/>
    <col min="15620" max="15620" width="12.7109375" style="53" customWidth="1"/>
    <col min="15621" max="15622" width="10.7109375" style="53" customWidth="1"/>
    <col min="15623" max="15629" width="12.7109375" style="53" customWidth="1"/>
    <col min="15630" max="15872" width="9.140625" style="53"/>
    <col min="15873" max="15873" width="5.7109375" style="53" customWidth="1"/>
    <col min="15874" max="15874" width="16.7109375" style="53" customWidth="1"/>
    <col min="15875" max="15875" width="53" style="53" customWidth="1"/>
    <col min="15876" max="15876" width="12.7109375" style="53" customWidth="1"/>
    <col min="15877" max="15878" width="10.7109375" style="53" customWidth="1"/>
    <col min="15879" max="15885" width="12.7109375" style="53" customWidth="1"/>
    <col min="15886" max="16128" width="9.140625" style="53"/>
    <col min="16129" max="16129" width="5.7109375" style="53" customWidth="1"/>
    <col min="16130" max="16130" width="16.7109375" style="53" customWidth="1"/>
    <col min="16131" max="16131" width="53" style="53" customWidth="1"/>
    <col min="16132" max="16132" width="12.7109375" style="53" customWidth="1"/>
    <col min="16133" max="16134" width="10.7109375" style="53" customWidth="1"/>
    <col min="16135" max="16141" width="12.7109375" style="53" customWidth="1"/>
    <col min="16142" max="16384" width="9.140625" style="53"/>
  </cols>
  <sheetData>
    <row r="1" spans="1:13" s="43" customFormat="1">
      <c r="M1" s="44" t="s">
        <v>92</v>
      </c>
    </row>
    <row r="2" spans="1:13" s="43" customFormat="1">
      <c r="A2" s="45"/>
      <c r="B2" s="45"/>
      <c r="C2" s="46"/>
      <c r="D2" s="46"/>
      <c r="E2" s="46"/>
      <c r="F2" s="45"/>
      <c r="G2" s="45"/>
      <c r="H2" s="46"/>
      <c r="I2" s="46"/>
      <c r="J2" s="46"/>
      <c r="K2" s="46"/>
      <c r="L2" s="46"/>
      <c r="M2" s="46"/>
    </row>
    <row r="3" spans="1:13" s="43" customFormat="1" ht="25.5" customHeight="1">
      <c r="A3" s="47" t="s">
        <v>93</v>
      </c>
      <c r="B3" s="47"/>
      <c r="C3" s="272" t="s">
        <v>94</v>
      </c>
      <c r="D3" s="272"/>
      <c r="E3" s="272"/>
      <c r="F3" s="272"/>
      <c r="G3" s="272"/>
      <c r="H3" s="272"/>
      <c r="I3" s="272"/>
      <c r="J3" s="272"/>
      <c r="K3" s="272"/>
      <c r="L3" s="272"/>
      <c r="M3" s="272"/>
    </row>
    <row r="4" spans="1:13" s="43" customFormat="1">
      <c r="A4" s="48" t="s">
        <v>95</v>
      </c>
      <c r="B4" s="48"/>
      <c r="C4" s="290" t="s">
        <v>96</v>
      </c>
      <c r="D4" s="290"/>
      <c r="E4" s="290"/>
      <c r="F4" s="290"/>
      <c r="G4" s="290"/>
      <c r="H4" s="290"/>
      <c r="I4" s="290"/>
      <c r="J4" s="290"/>
      <c r="K4" s="290"/>
      <c r="L4" s="290"/>
      <c r="M4" s="290"/>
    </row>
    <row r="5" spans="1:13" s="43" customFormat="1">
      <c r="A5" s="47" t="s">
        <v>97</v>
      </c>
      <c r="B5" s="47"/>
      <c r="C5" s="272" t="s">
        <v>98</v>
      </c>
      <c r="D5" s="272"/>
      <c r="E5" s="272"/>
      <c r="F5" s="272"/>
      <c r="G5" s="272"/>
      <c r="H5" s="272"/>
      <c r="I5" s="272"/>
      <c r="J5" s="272"/>
      <c r="K5" s="272"/>
      <c r="L5" s="272"/>
      <c r="M5" s="272"/>
    </row>
    <row r="6" spans="1:13" s="43" customFormat="1">
      <c r="A6" s="48" t="s">
        <v>99</v>
      </c>
      <c r="B6" s="48"/>
      <c r="C6" s="290" t="s">
        <v>100</v>
      </c>
      <c r="D6" s="290"/>
      <c r="E6" s="290"/>
      <c r="F6" s="290"/>
      <c r="G6" s="290"/>
      <c r="H6" s="290"/>
      <c r="I6" s="290"/>
      <c r="J6" s="290"/>
      <c r="K6" s="290"/>
      <c r="L6" s="290"/>
      <c r="M6" s="290"/>
    </row>
    <row r="7" spans="1:13" s="43" customFormat="1" ht="10.5" customHeight="1">
      <c r="C7" s="49"/>
      <c r="D7" s="49"/>
      <c r="E7" s="49"/>
    </row>
    <row r="8" spans="1:13" s="43" customFormat="1" ht="18.75">
      <c r="C8" s="291" t="s">
        <v>101</v>
      </c>
      <c r="D8" s="291"/>
      <c r="E8" s="291"/>
      <c r="F8" s="291"/>
      <c r="G8" s="291"/>
      <c r="H8" s="292" t="s">
        <v>2</v>
      </c>
      <c r="I8" s="292"/>
      <c r="J8" s="292"/>
      <c r="K8" s="292"/>
      <c r="L8" s="292"/>
      <c r="M8" s="292"/>
    </row>
    <row r="9" spans="1:13" s="43" customFormat="1" ht="19.5" customHeight="1">
      <c r="C9" s="269" t="s">
        <v>102</v>
      </c>
      <c r="D9" s="269"/>
      <c r="E9" s="269"/>
      <c r="F9" s="269"/>
      <c r="G9" s="269"/>
      <c r="H9" s="269"/>
      <c r="I9" s="269"/>
      <c r="J9" s="269"/>
      <c r="K9" s="269"/>
      <c r="L9" s="50"/>
    </row>
    <row r="10" spans="1:13" s="43" customFormat="1" ht="12" customHeight="1">
      <c r="C10" s="49"/>
      <c r="D10" s="49"/>
      <c r="E10" s="49"/>
    </row>
    <row r="11" spans="1:13" s="43" customFormat="1" ht="15">
      <c r="B11" s="51" t="s">
        <v>103</v>
      </c>
      <c r="C11" s="270" t="s">
        <v>104</v>
      </c>
      <c r="D11" s="270"/>
      <c r="E11" s="270"/>
      <c r="F11" s="270"/>
      <c r="G11" s="270"/>
      <c r="H11" s="270"/>
      <c r="I11" s="270"/>
      <c r="J11" s="270"/>
      <c r="K11" s="270"/>
      <c r="L11" s="270"/>
      <c r="M11" s="270"/>
    </row>
    <row r="12" spans="1:13" s="43" customFormat="1" ht="15">
      <c r="B12" s="51"/>
      <c r="C12" s="271" t="s">
        <v>105</v>
      </c>
      <c r="D12" s="271"/>
      <c r="E12" s="271"/>
      <c r="F12" s="271"/>
      <c r="G12" s="271"/>
      <c r="H12" s="271"/>
      <c r="I12" s="271"/>
      <c r="J12" s="271"/>
      <c r="K12" s="271"/>
      <c r="L12" s="271"/>
    </row>
    <row r="13" spans="1:13" s="43" customFormat="1"/>
    <row r="14" spans="1:13" s="43" customFormat="1">
      <c r="A14" s="47" t="s">
        <v>106</v>
      </c>
      <c r="B14" s="47"/>
      <c r="C14" s="272" t="s">
        <v>107</v>
      </c>
      <c r="D14" s="272"/>
      <c r="E14" s="272"/>
      <c r="F14" s="272"/>
      <c r="G14" s="272"/>
      <c r="H14" s="272"/>
      <c r="I14" s="272"/>
      <c r="J14" s="272"/>
      <c r="K14" s="272"/>
      <c r="L14" s="272"/>
      <c r="M14" s="272"/>
    </row>
    <row r="15" spans="1:13">
      <c r="A15" s="52"/>
      <c r="B15" s="52"/>
      <c r="C15" s="52"/>
      <c r="F15" s="54" t="s">
        <v>11</v>
      </c>
      <c r="G15" s="54"/>
      <c r="H15" s="54"/>
      <c r="I15" s="54"/>
      <c r="J15" s="54"/>
      <c r="K15" s="55"/>
      <c r="L15" s="56" t="s">
        <v>108</v>
      </c>
      <c r="M15" s="56" t="s">
        <v>109</v>
      </c>
    </row>
    <row r="16" spans="1:13">
      <c r="A16" s="52"/>
      <c r="B16" s="52"/>
      <c r="C16" s="52"/>
      <c r="F16" s="54" t="s">
        <v>110</v>
      </c>
      <c r="G16" s="54"/>
      <c r="H16" s="54"/>
      <c r="I16" s="54"/>
      <c r="J16" s="54"/>
      <c r="K16" s="55"/>
      <c r="L16" s="56" t="s">
        <v>111</v>
      </c>
      <c r="M16" s="56" t="s">
        <v>109</v>
      </c>
    </row>
    <row r="17" spans="1:13">
      <c r="A17" s="52"/>
      <c r="B17" s="52"/>
      <c r="C17" s="52"/>
      <c r="F17" s="54" t="s">
        <v>112</v>
      </c>
      <c r="G17" s="54"/>
      <c r="H17" s="54"/>
      <c r="I17" s="54"/>
      <c r="J17" s="54"/>
      <c r="K17" s="55"/>
      <c r="L17" s="56" t="s">
        <v>113</v>
      </c>
      <c r="M17" s="56" t="s">
        <v>114</v>
      </c>
    </row>
    <row r="18" spans="1:13" s="43" customFormat="1" ht="16.5" customHeight="1">
      <c r="A18" s="273" t="s">
        <v>115</v>
      </c>
      <c r="B18" s="273"/>
      <c r="C18" s="273"/>
      <c r="D18" s="273"/>
      <c r="E18" s="273"/>
      <c r="F18" s="273"/>
      <c r="G18" s="273"/>
      <c r="H18" s="273"/>
      <c r="I18" s="273"/>
      <c r="J18" s="273"/>
      <c r="K18" s="273"/>
      <c r="L18" s="44"/>
    </row>
    <row r="19" spans="1:13" s="57" customFormat="1" ht="24" customHeight="1">
      <c r="A19" s="274" t="s">
        <v>116</v>
      </c>
      <c r="B19" s="274" t="s">
        <v>117</v>
      </c>
      <c r="C19" s="274" t="s">
        <v>118</v>
      </c>
      <c r="D19" s="274" t="s">
        <v>119</v>
      </c>
      <c r="E19" s="277" t="s">
        <v>120</v>
      </c>
      <c r="F19" s="278"/>
      <c r="G19" s="281" t="s">
        <v>121</v>
      </c>
      <c r="H19" s="282"/>
      <c r="I19" s="281" t="s">
        <v>122</v>
      </c>
      <c r="J19" s="283"/>
      <c r="K19" s="284"/>
      <c r="L19" s="274" t="s">
        <v>123</v>
      </c>
      <c r="M19" s="285" t="s">
        <v>124</v>
      </c>
    </row>
    <row r="20" spans="1:13" s="57" customFormat="1" ht="24" customHeight="1">
      <c r="A20" s="275"/>
      <c r="B20" s="275"/>
      <c r="C20" s="275"/>
      <c r="D20" s="275"/>
      <c r="E20" s="279"/>
      <c r="F20" s="280"/>
      <c r="G20" s="58" t="s">
        <v>20</v>
      </c>
      <c r="H20" s="58" t="s">
        <v>125</v>
      </c>
      <c r="I20" s="58" t="s">
        <v>20</v>
      </c>
      <c r="J20" s="58" t="s">
        <v>125</v>
      </c>
      <c r="K20" s="58" t="s">
        <v>126</v>
      </c>
      <c r="L20" s="276"/>
      <c r="M20" s="286"/>
    </row>
    <row r="21" spans="1:13" s="57" customFormat="1" ht="39.950000000000003" customHeight="1">
      <c r="A21" s="276"/>
      <c r="B21" s="276"/>
      <c r="C21" s="276"/>
      <c r="D21" s="276"/>
      <c r="E21" s="59" t="s">
        <v>127</v>
      </c>
      <c r="F21" s="58" t="s">
        <v>128</v>
      </c>
      <c r="G21" s="58" t="s">
        <v>129</v>
      </c>
      <c r="H21" s="58" t="s">
        <v>130</v>
      </c>
      <c r="I21" s="58" t="s">
        <v>129</v>
      </c>
      <c r="J21" s="58" t="s">
        <v>130</v>
      </c>
      <c r="K21" s="58" t="s">
        <v>131</v>
      </c>
      <c r="L21" s="58" t="s">
        <v>132</v>
      </c>
      <c r="M21" s="287"/>
    </row>
    <row r="22" spans="1:13">
      <c r="A22" s="60">
        <v>1</v>
      </c>
      <c r="B22" s="61">
        <v>2</v>
      </c>
      <c r="C22" s="61">
        <v>3</v>
      </c>
      <c r="D22" s="61">
        <v>4</v>
      </c>
      <c r="E22" s="288">
        <v>5</v>
      </c>
      <c r="F22" s="289"/>
      <c r="G22" s="61">
        <v>6</v>
      </c>
      <c r="H22" s="61">
        <v>7</v>
      </c>
      <c r="I22" s="61">
        <v>8</v>
      </c>
      <c r="J22" s="61">
        <v>9</v>
      </c>
      <c r="K22" s="61">
        <v>10</v>
      </c>
      <c r="L22" s="61">
        <v>11</v>
      </c>
      <c r="M22" s="61">
        <v>12</v>
      </c>
    </row>
    <row r="23" spans="1:13">
      <c r="A23" s="266"/>
      <c r="B23" s="267"/>
      <c r="C23" s="267"/>
      <c r="D23" s="267"/>
      <c r="E23" s="267"/>
      <c r="F23" s="267"/>
      <c r="G23" s="267"/>
      <c r="H23" s="267"/>
      <c r="I23" s="267"/>
      <c r="J23" s="267"/>
      <c r="K23" s="267"/>
      <c r="L23" s="267"/>
      <c r="M23" s="268"/>
    </row>
    <row r="24" spans="1:13" s="43" customFormat="1" ht="156.19999999999999" customHeight="1">
      <c r="A24" s="62"/>
      <c r="B24" s="63"/>
      <c r="C24" s="63"/>
      <c r="D24" s="63"/>
      <c r="E24" s="63"/>
      <c r="F24" s="264" t="s">
        <v>133</v>
      </c>
      <c r="G24" s="264"/>
      <c r="H24" s="264"/>
      <c r="I24" s="264"/>
      <c r="J24" s="264"/>
      <c r="K24" s="264"/>
      <c r="L24" s="63"/>
      <c r="M24" s="64"/>
    </row>
    <row r="25" spans="1:13" s="43" customFormat="1" ht="12.75" customHeight="1">
      <c r="A25" s="62"/>
      <c r="B25" s="63"/>
      <c r="C25" s="264" t="s">
        <v>134</v>
      </c>
      <c r="D25" s="264"/>
      <c r="E25" s="63"/>
      <c r="F25" s="63"/>
      <c r="G25" s="63"/>
      <c r="H25" s="63"/>
      <c r="I25" s="63"/>
      <c r="J25" s="63"/>
      <c r="K25" s="63"/>
      <c r="L25" s="63"/>
      <c r="M25" s="64"/>
    </row>
    <row r="26" spans="1:13" s="74" customFormat="1" ht="48">
      <c r="A26" s="65" t="s">
        <v>21</v>
      </c>
      <c r="B26" s="66" t="s">
        <v>135</v>
      </c>
      <c r="C26" s="67" t="s">
        <v>136</v>
      </c>
      <c r="D26" s="68" t="s">
        <v>137</v>
      </c>
      <c r="E26" s="69"/>
      <c r="F26" s="70">
        <v>0.46800000000000003</v>
      </c>
      <c r="G26" s="71">
        <v>458904</v>
      </c>
      <c r="H26" s="71">
        <v>47489</v>
      </c>
      <c r="I26" s="72">
        <f t="shared" ref="I26" si="0">G26*F26</f>
        <v>214767.07200000001</v>
      </c>
      <c r="J26" s="72">
        <f t="shared" ref="J26" si="1">H26*F26</f>
        <v>22224.852000000003</v>
      </c>
      <c r="K26" s="72">
        <f t="shared" ref="K26" si="2">I26-I27-J26</f>
        <v>3705.6239999999925</v>
      </c>
      <c r="L26" s="72">
        <f t="shared" ref="L26" si="3">(I27+J27)*E26</f>
        <v>0</v>
      </c>
      <c r="M26" s="73">
        <f t="shared" ref="M26" si="4">I26+L26+L27</f>
        <v>214767.07200000001</v>
      </c>
    </row>
    <row r="27" spans="1:13" s="74" customFormat="1">
      <c r="A27" s="75"/>
      <c r="B27" s="76"/>
      <c r="C27" s="77"/>
      <c r="D27" s="78"/>
      <c r="E27" s="79"/>
      <c r="F27" s="78"/>
      <c r="G27" s="80">
        <v>403497</v>
      </c>
      <c r="H27" s="80">
        <v>13487</v>
      </c>
      <c r="I27" s="81">
        <f t="shared" ref="I27" si="5">G27*F26</f>
        <v>188836.59600000002</v>
      </c>
      <c r="J27" s="81">
        <f t="shared" ref="J27" si="6">H27*F26</f>
        <v>6311.9160000000002</v>
      </c>
      <c r="K27" s="81"/>
      <c r="L27" s="81"/>
      <c r="M27" s="81"/>
    </row>
    <row r="28" spans="1:13" s="43" customFormat="1" ht="21" hidden="1" outlineLevel="1">
      <c r="A28" s="82" t="s">
        <v>139</v>
      </c>
      <c r="B28" s="83" t="s">
        <v>140</v>
      </c>
      <c r="C28" s="84" t="s">
        <v>141</v>
      </c>
      <c r="D28" s="83" t="s">
        <v>142</v>
      </c>
      <c r="E28" s="85">
        <v>74.555999999999997</v>
      </c>
      <c r="F28" s="85"/>
      <c r="G28" s="86">
        <v>5412</v>
      </c>
      <c r="H28" s="87"/>
      <c r="I28" s="88">
        <v>566510</v>
      </c>
      <c r="J28" s="88"/>
      <c r="K28" s="88"/>
      <c r="L28" s="89"/>
      <c r="M28" s="89"/>
    </row>
    <row r="29" spans="1:13" s="43" customFormat="1" hidden="1" outlineLevel="1">
      <c r="A29" s="82" t="s">
        <v>143</v>
      </c>
      <c r="B29" s="83" t="s">
        <v>34</v>
      </c>
      <c r="C29" s="84" t="s">
        <v>144</v>
      </c>
      <c r="D29" s="83" t="s">
        <v>142</v>
      </c>
      <c r="E29" s="85">
        <v>4.08</v>
      </c>
      <c r="F29" s="85"/>
      <c r="G29" s="89"/>
      <c r="H29" s="87"/>
      <c r="I29" s="88"/>
      <c r="J29" s="88"/>
      <c r="K29" s="88"/>
      <c r="L29" s="89"/>
      <c r="M29" s="89"/>
    </row>
    <row r="30" spans="1:13" s="43" customFormat="1" hidden="1" outlineLevel="1">
      <c r="A30" s="90" t="s">
        <v>145</v>
      </c>
      <c r="B30" s="91" t="s">
        <v>146</v>
      </c>
      <c r="C30" s="92" t="s">
        <v>147</v>
      </c>
      <c r="D30" s="91" t="s">
        <v>148</v>
      </c>
      <c r="E30" s="93">
        <v>17.134799999999998</v>
      </c>
      <c r="F30" s="93"/>
      <c r="G30" s="94"/>
      <c r="H30" s="95">
        <v>230</v>
      </c>
      <c r="I30" s="96"/>
      <c r="J30" s="96">
        <v>5533</v>
      </c>
      <c r="K30" s="96"/>
      <c r="L30" s="97"/>
      <c r="M30" s="97"/>
    </row>
    <row r="31" spans="1:13" s="43" customFormat="1" ht="21" hidden="1" outlineLevel="1">
      <c r="A31" s="90" t="s">
        <v>149</v>
      </c>
      <c r="B31" s="91" t="s">
        <v>150</v>
      </c>
      <c r="C31" s="92" t="s">
        <v>151</v>
      </c>
      <c r="D31" s="91" t="s">
        <v>148</v>
      </c>
      <c r="E31" s="93">
        <v>2.0404800000000001</v>
      </c>
      <c r="F31" s="93"/>
      <c r="G31" s="94"/>
      <c r="H31" s="95">
        <v>12979</v>
      </c>
      <c r="I31" s="96"/>
      <c r="J31" s="96">
        <v>37183</v>
      </c>
      <c r="K31" s="96"/>
      <c r="L31" s="97"/>
      <c r="M31" s="97"/>
    </row>
    <row r="32" spans="1:13" s="43" customFormat="1" hidden="1" outlineLevel="2">
      <c r="A32" s="98" t="s">
        <v>149</v>
      </c>
      <c r="B32" s="99"/>
      <c r="C32" s="100" t="s">
        <v>152</v>
      </c>
      <c r="D32" s="101" t="s">
        <v>142</v>
      </c>
      <c r="E32" s="102">
        <v>2.0404800000000001</v>
      </c>
      <c r="F32" s="102"/>
      <c r="G32" s="103"/>
      <c r="H32" s="102">
        <v>3888</v>
      </c>
      <c r="I32" s="104"/>
      <c r="J32" s="104">
        <v>11138.47</v>
      </c>
      <c r="K32" s="96"/>
      <c r="L32" s="97"/>
      <c r="M32" s="97"/>
    </row>
    <row r="33" spans="1:13" s="43" customFormat="1" hidden="1" outlineLevel="1">
      <c r="A33" s="90" t="s">
        <v>153</v>
      </c>
      <c r="B33" s="91" t="s">
        <v>154</v>
      </c>
      <c r="C33" s="92" t="s">
        <v>155</v>
      </c>
      <c r="D33" s="91" t="s">
        <v>148</v>
      </c>
      <c r="E33" s="93">
        <v>2.0404800000000001</v>
      </c>
      <c r="F33" s="93"/>
      <c r="G33" s="94"/>
      <c r="H33" s="95">
        <v>8363</v>
      </c>
      <c r="I33" s="96"/>
      <c r="J33" s="96">
        <v>23959</v>
      </c>
      <c r="K33" s="96"/>
      <c r="L33" s="97"/>
      <c r="M33" s="97"/>
    </row>
    <row r="34" spans="1:13" s="43" customFormat="1" hidden="1" outlineLevel="2">
      <c r="A34" s="98" t="s">
        <v>153</v>
      </c>
      <c r="B34" s="99"/>
      <c r="C34" s="100" t="s">
        <v>152</v>
      </c>
      <c r="D34" s="101" t="s">
        <v>142</v>
      </c>
      <c r="E34" s="102">
        <v>2.0404800000000001</v>
      </c>
      <c r="F34" s="102"/>
      <c r="G34" s="103"/>
      <c r="H34" s="102">
        <v>2722</v>
      </c>
      <c r="I34" s="104"/>
      <c r="J34" s="104">
        <v>7798.08</v>
      </c>
      <c r="K34" s="96"/>
      <c r="L34" s="97"/>
      <c r="M34" s="97"/>
    </row>
    <row r="35" spans="1:13" s="43" customFormat="1" hidden="1" outlineLevel="1">
      <c r="A35" s="105" t="s">
        <v>156</v>
      </c>
      <c r="B35" s="106" t="s">
        <v>157</v>
      </c>
      <c r="C35" s="107" t="s">
        <v>158</v>
      </c>
      <c r="D35" s="106" t="s">
        <v>137</v>
      </c>
      <c r="E35" s="108">
        <v>2.5400000000000002E-3</v>
      </c>
      <c r="F35" s="108"/>
      <c r="G35" s="109">
        <v>1510113</v>
      </c>
      <c r="H35" s="110"/>
      <c r="I35" s="111"/>
      <c r="J35" s="111"/>
      <c r="K35" s="111">
        <v>5385</v>
      </c>
      <c r="L35" s="97"/>
      <c r="M35" s="97"/>
    </row>
    <row r="36" spans="1:13" s="43" customFormat="1" ht="21" hidden="1" outlineLevel="1">
      <c r="A36" s="105" t="s">
        <v>159</v>
      </c>
      <c r="B36" s="106" t="s">
        <v>160</v>
      </c>
      <c r="C36" s="107" t="s">
        <v>161</v>
      </c>
      <c r="D36" s="106" t="s">
        <v>162</v>
      </c>
      <c r="E36" s="108">
        <v>3.36</v>
      </c>
      <c r="F36" s="108"/>
      <c r="G36" s="109">
        <v>1215</v>
      </c>
      <c r="H36" s="110"/>
      <c r="I36" s="111"/>
      <c r="J36" s="111"/>
      <c r="K36" s="111">
        <v>5732</v>
      </c>
      <c r="L36" s="97"/>
      <c r="M36" s="97"/>
    </row>
    <row r="37" spans="1:13" s="74" customFormat="1" ht="36" collapsed="1">
      <c r="A37" s="65" t="s">
        <v>32</v>
      </c>
      <c r="B37" s="66" t="s">
        <v>163</v>
      </c>
      <c r="C37" s="241" t="s">
        <v>164</v>
      </c>
      <c r="D37" s="68" t="s">
        <v>165</v>
      </c>
      <c r="E37" s="69"/>
      <c r="F37" s="112">
        <v>208</v>
      </c>
      <c r="G37" s="71">
        <v>4532</v>
      </c>
      <c r="H37" s="113"/>
      <c r="I37" s="72">
        <f t="shared" ref="I37" si="7">G37*F37</f>
        <v>942656</v>
      </c>
      <c r="J37" s="72">
        <f t="shared" ref="J37" si="8">H37*F37</f>
        <v>0</v>
      </c>
      <c r="K37" s="72">
        <f t="shared" ref="K37" si="9">I37-I38-J37</f>
        <v>942656</v>
      </c>
      <c r="L37" s="72">
        <f t="shared" ref="L37" si="10">(I38+J38)*E37</f>
        <v>0</v>
      </c>
      <c r="M37" s="73">
        <f t="shared" ref="M37" si="11">I37+L37+L38</f>
        <v>942656</v>
      </c>
    </row>
    <row r="38" spans="1:13" s="74" customFormat="1">
      <c r="A38" s="75"/>
      <c r="B38" s="76"/>
      <c r="C38" s="77"/>
      <c r="D38" s="78"/>
      <c r="E38" s="79"/>
      <c r="F38" s="78"/>
      <c r="G38" s="114"/>
      <c r="H38" s="114"/>
      <c r="I38" s="81">
        <f t="shared" ref="I38" si="12">G38*F37</f>
        <v>0</v>
      </c>
      <c r="J38" s="81">
        <f t="shared" ref="J38" si="13">H38*F37</f>
        <v>0</v>
      </c>
      <c r="K38" s="81"/>
      <c r="L38" s="81"/>
      <c r="M38" s="81"/>
    </row>
    <row r="39" spans="1:13" s="74" customFormat="1" ht="48">
      <c r="A39" s="65" t="s">
        <v>34</v>
      </c>
      <c r="B39" s="66" t="s">
        <v>166</v>
      </c>
      <c r="C39" s="67" t="s">
        <v>167</v>
      </c>
      <c r="D39" s="68" t="s">
        <v>137</v>
      </c>
      <c r="E39" s="69"/>
      <c r="F39" s="70">
        <v>0.33100000000000002</v>
      </c>
      <c r="G39" s="71">
        <v>399523</v>
      </c>
      <c r="H39" s="71">
        <v>46737</v>
      </c>
      <c r="I39" s="72">
        <f t="shared" ref="I39" si="14">G39*F39</f>
        <v>132242.11300000001</v>
      </c>
      <c r="J39" s="72">
        <f t="shared" ref="J39" si="15">H39*F39</f>
        <v>15469.947</v>
      </c>
      <c r="K39" s="72">
        <f t="shared" ref="K39" si="16">I39-I40-J39</f>
        <v>1959.5200000000041</v>
      </c>
      <c r="L39" s="72">
        <f t="shared" ref="L39" si="17">(I40+J40)*E39</f>
        <v>0</v>
      </c>
      <c r="M39" s="73">
        <f t="shared" ref="M39" si="18">I39+L39+L40</f>
        <v>132242.11300000001</v>
      </c>
    </row>
    <row r="40" spans="1:13" s="74" customFormat="1">
      <c r="A40" s="75"/>
      <c r="B40" s="76"/>
      <c r="C40" s="77"/>
      <c r="D40" s="78"/>
      <c r="E40" s="79"/>
      <c r="F40" s="78"/>
      <c r="G40" s="80">
        <v>346866</v>
      </c>
      <c r="H40" s="80">
        <v>13487</v>
      </c>
      <c r="I40" s="81">
        <f t="shared" ref="I40" si="19">G40*F39</f>
        <v>114812.64600000001</v>
      </c>
      <c r="J40" s="81">
        <f t="shared" ref="J40" si="20">H40*F39</f>
        <v>4464.1970000000001</v>
      </c>
      <c r="K40" s="81"/>
      <c r="L40" s="81"/>
      <c r="M40" s="81"/>
    </row>
    <row r="41" spans="1:13" s="43" customFormat="1" ht="21" hidden="1" outlineLevel="1">
      <c r="A41" s="82" t="s">
        <v>168</v>
      </c>
      <c r="B41" s="83" t="s">
        <v>140</v>
      </c>
      <c r="C41" s="84" t="s">
        <v>141</v>
      </c>
      <c r="D41" s="83" t="s">
        <v>142</v>
      </c>
      <c r="E41" s="85">
        <v>64.091999999999999</v>
      </c>
      <c r="F41" s="85"/>
      <c r="G41" s="86">
        <v>5412</v>
      </c>
      <c r="H41" s="87"/>
      <c r="I41" s="88">
        <v>344022</v>
      </c>
      <c r="J41" s="88"/>
      <c r="K41" s="88"/>
      <c r="L41" s="89"/>
      <c r="M41" s="89"/>
    </row>
    <row r="42" spans="1:13" s="43" customFormat="1" hidden="1" outlineLevel="1">
      <c r="A42" s="82" t="s">
        <v>169</v>
      </c>
      <c r="B42" s="83" t="s">
        <v>34</v>
      </c>
      <c r="C42" s="84" t="s">
        <v>144</v>
      </c>
      <c r="D42" s="83" t="s">
        <v>142</v>
      </c>
      <c r="E42" s="85">
        <v>4.08</v>
      </c>
      <c r="F42" s="85"/>
      <c r="G42" s="89"/>
      <c r="H42" s="87"/>
      <c r="I42" s="88"/>
      <c r="J42" s="88"/>
      <c r="K42" s="88"/>
      <c r="L42" s="89"/>
      <c r="M42" s="89"/>
    </row>
    <row r="43" spans="1:13" s="43" customFormat="1" hidden="1" outlineLevel="1">
      <c r="A43" s="90" t="s">
        <v>170</v>
      </c>
      <c r="B43" s="91" t="s">
        <v>146</v>
      </c>
      <c r="C43" s="92" t="s">
        <v>147</v>
      </c>
      <c r="D43" s="91" t="s">
        <v>148</v>
      </c>
      <c r="E43" s="93">
        <v>13.864800000000001</v>
      </c>
      <c r="F43" s="93"/>
      <c r="G43" s="94"/>
      <c r="H43" s="95">
        <v>230</v>
      </c>
      <c r="I43" s="96"/>
      <c r="J43" s="96">
        <v>3163</v>
      </c>
      <c r="K43" s="96"/>
      <c r="L43" s="97"/>
      <c r="M43" s="97"/>
    </row>
    <row r="44" spans="1:13" s="43" customFormat="1" ht="21" hidden="1" outlineLevel="1">
      <c r="A44" s="90" t="s">
        <v>171</v>
      </c>
      <c r="B44" s="91" t="s">
        <v>150</v>
      </c>
      <c r="C44" s="92" t="s">
        <v>151</v>
      </c>
      <c r="D44" s="91" t="s">
        <v>148</v>
      </c>
      <c r="E44" s="93">
        <v>2.0404800000000001</v>
      </c>
      <c r="F44" s="93"/>
      <c r="G44" s="94"/>
      <c r="H44" s="95">
        <v>12979</v>
      </c>
      <c r="I44" s="96"/>
      <c r="J44" s="96">
        <v>26266</v>
      </c>
      <c r="K44" s="96"/>
      <c r="L44" s="97"/>
      <c r="M44" s="97"/>
    </row>
    <row r="45" spans="1:13" s="43" customFormat="1" hidden="1" outlineLevel="2">
      <c r="A45" s="98" t="s">
        <v>171</v>
      </c>
      <c r="B45" s="99"/>
      <c r="C45" s="100" t="s">
        <v>152</v>
      </c>
      <c r="D45" s="101" t="s">
        <v>142</v>
      </c>
      <c r="E45" s="102">
        <v>2.0404800000000001</v>
      </c>
      <c r="F45" s="102"/>
      <c r="G45" s="103"/>
      <c r="H45" s="102">
        <v>3888</v>
      </c>
      <c r="I45" s="104"/>
      <c r="J45" s="104">
        <v>7868.33</v>
      </c>
      <c r="K45" s="96"/>
      <c r="L45" s="97"/>
      <c r="M45" s="97"/>
    </row>
    <row r="46" spans="1:13" s="43" customFormat="1" hidden="1" outlineLevel="1">
      <c r="A46" s="90" t="s">
        <v>172</v>
      </c>
      <c r="B46" s="91" t="s">
        <v>154</v>
      </c>
      <c r="C46" s="92" t="s">
        <v>155</v>
      </c>
      <c r="D46" s="91" t="s">
        <v>148</v>
      </c>
      <c r="E46" s="93">
        <v>2.0404800000000001</v>
      </c>
      <c r="F46" s="93"/>
      <c r="G46" s="94"/>
      <c r="H46" s="95">
        <v>8363</v>
      </c>
      <c r="I46" s="96"/>
      <c r="J46" s="96">
        <v>16925</v>
      </c>
      <c r="K46" s="96"/>
      <c r="L46" s="97"/>
      <c r="M46" s="97"/>
    </row>
    <row r="47" spans="1:13" s="43" customFormat="1" hidden="1" outlineLevel="2">
      <c r="A47" s="98" t="s">
        <v>172</v>
      </c>
      <c r="B47" s="99"/>
      <c r="C47" s="100" t="s">
        <v>152</v>
      </c>
      <c r="D47" s="101" t="s">
        <v>142</v>
      </c>
      <c r="E47" s="102">
        <v>2.0404800000000001</v>
      </c>
      <c r="F47" s="102"/>
      <c r="G47" s="103"/>
      <c r="H47" s="102">
        <v>2722</v>
      </c>
      <c r="I47" s="104"/>
      <c r="J47" s="104">
        <v>5508.64</v>
      </c>
      <c r="K47" s="96"/>
      <c r="L47" s="97"/>
      <c r="M47" s="97"/>
    </row>
    <row r="48" spans="1:13" s="43" customFormat="1" hidden="1" outlineLevel="1">
      <c r="A48" s="105" t="s">
        <v>173</v>
      </c>
      <c r="B48" s="106" t="s">
        <v>157</v>
      </c>
      <c r="C48" s="107" t="s">
        <v>158</v>
      </c>
      <c r="D48" s="106" t="s">
        <v>137</v>
      </c>
      <c r="E48" s="108">
        <v>1.7799999999999999E-3</v>
      </c>
      <c r="F48" s="108"/>
      <c r="G48" s="109">
        <v>1510113</v>
      </c>
      <c r="H48" s="110"/>
      <c r="I48" s="111"/>
      <c r="J48" s="111"/>
      <c r="K48" s="111">
        <v>2666</v>
      </c>
      <c r="L48" s="97"/>
      <c r="M48" s="97"/>
    </row>
    <row r="49" spans="1:13" s="43" customFormat="1" ht="21" hidden="1" outlineLevel="1">
      <c r="A49" s="105" t="s">
        <v>174</v>
      </c>
      <c r="B49" s="106" t="s">
        <v>160</v>
      </c>
      <c r="C49" s="107" t="s">
        <v>161</v>
      </c>
      <c r="D49" s="106" t="s">
        <v>162</v>
      </c>
      <c r="E49" s="108">
        <v>2.66</v>
      </c>
      <c r="F49" s="108"/>
      <c r="G49" s="109">
        <v>1215</v>
      </c>
      <c r="H49" s="110"/>
      <c r="I49" s="111"/>
      <c r="J49" s="111"/>
      <c r="K49" s="111">
        <v>3205</v>
      </c>
      <c r="L49" s="97"/>
      <c r="M49" s="97"/>
    </row>
    <row r="50" spans="1:13" s="74" customFormat="1" ht="36" collapsed="1">
      <c r="A50" s="65" t="s">
        <v>36</v>
      </c>
      <c r="B50" s="66" t="s">
        <v>175</v>
      </c>
      <c r="C50" s="241" t="s">
        <v>176</v>
      </c>
      <c r="D50" s="68" t="s">
        <v>165</v>
      </c>
      <c r="E50" s="69"/>
      <c r="F50" s="112">
        <v>114</v>
      </c>
      <c r="G50" s="71">
        <v>4700</v>
      </c>
      <c r="H50" s="113"/>
      <c r="I50" s="72">
        <f t="shared" ref="I50:I52" si="21">G50*F50</f>
        <v>535800</v>
      </c>
      <c r="J50" s="72">
        <f t="shared" ref="J50:J52" si="22">H50*F50</f>
        <v>0</v>
      </c>
      <c r="K50" s="72">
        <f t="shared" ref="K50:K52" si="23">I50-I51-J50</f>
        <v>535800</v>
      </c>
      <c r="L50" s="72">
        <f t="shared" ref="L50:L52" si="24">(I51+J51)*E50</f>
        <v>0</v>
      </c>
      <c r="M50" s="73">
        <f t="shared" ref="M50:M52" si="25">I50+L50+L51</f>
        <v>535800</v>
      </c>
    </row>
    <row r="51" spans="1:13" s="74" customFormat="1">
      <c r="A51" s="75"/>
      <c r="B51" s="76"/>
      <c r="C51" s="77"/>
      <c r="D51" s="78"/>
      <c r="E51" s="79"/>
      <c r="F51" s="78"/>
      <c r="G51" s="114"/>
      <c r="H51" s="114"/>
      <c r="I51" s="81">
        <f t="shared" ref="I51:I53" si="26">G51*F50</f>
        <v>0</v>
      </c>
      <c r="J51" s="81">
        <f t="shared" ref="J51:J53" si="27">H51*F50</f>
        <v>0</v>
      </c>
      <c r="K51" s="81"/>
      <c r="L51" s="81"/>
      <c r="M51" s="81"/>
    </row>
    <row r="52" spans="1:13" s="74" customFormat="1" ht="24">
      <c r="A52" s="65" t="s">
        <v>38</v>
      </c>
      <c r="B52" s="66" t="s">
        <v>177</v>
      </c>
      <c r="C52" s="67" t="s">
        <v>178</v>
      </c>
      <c r="D52" s="68" t="s">
        <v>179</v>
      </c>
      <c r="E52" s="69"/>
      <c r="F52" s="112">
        <v>220</v>
      </c>
      <c r="G52" s="71">
        <v>179</v>
      </c>
      <c r="H52" s="71">
        <v>31</v>
      </c>
      <c r="I52" s="72">
        <f t="shared" si="21"/>
        <v>39380</v>
      </c>
      <c r="J52" s="72">
        <f t="shared" si="22"/>
        <v>6820</v>
      </c>
      <c r="K52" s="72">
        <f t="shared" si="23"/>
        <v>440</v>
      </c>
      <c r="L52" s="72">
        <f t="shared" si="24"/>
        <v>0</v>
      </c>
      <c r="M52" s="73">
        <f t="shared" si="25"/>
        <v>39380</v>
      </c>
    </row>
    <row r="53" spans="1:13" s="74" customFormat="1">
      <c r="A53" s="75"/>
      <c r="B53" s="76"/>
      <c r="C53" s="77"/>
      <c r="D53" s="78"/>
      <c r="E53" s="79"/>
      <c r="F53" s="78"/>
      <c r="G53" s="80">
        <v>146</v>
      </c>
      <c r="H53" s="80">
        <v>10</v>
      </c>
      <c r="I53" s="81">
        <f t="shared" si="26"/>
        <v>32120</v>
      </c>
      <c r="J53" s="81">
        <f t="shared" si="27"/>
        <v>2200</v>
      </c>
      <c r="K53" s="81"/>
      <c r="L53" s="81"/>
      <c r="M53" s="81"/>
    </row>
    <row r="54" spans="1:13" s="43" customFormat="1" ht="21" hidden="1" outlineLevel="1">
      <c r="A54" s="82" t="s">
        <v>180</v>
      </c>
      <c r="B54" s="83" t="s">
        <v>181</v>
      </c>
      <c r="C54" s="84" t="s">
        <v>182</v>
      </c>
      <c r="D54" s="83" t="s">
        <v>142</v>
      </c>
      <c r="E54" s="85">
        <v>2.6200000000000001E-2</v>
      </c>
      <c r="F54" s="85"/>
      <c r="G54" s="86">
        <v>5590</v>
      </c>
      <c r="H54" s="87"/>
      <c r="I54" s="88">
        <v>96662</v>
      </c>
      <c r="J54" s="88"/>
      <c r="K54" s="88"/>
      <c r="L54" s="89"/>
      <c r="M54" s="89"/>
    </row>
    <row r="55" spans="1:13" s="43" customFormat="1" hidden="1" outlineLevel="1">
      <c r="A55" s="82" t="s">
        <v>183</v>
      </c>
      <c r="B55" s="83" t="s">
        <v>34</v>
      </c>
      <c r="C55" s="84" t="s">
        <v>144</v>
      </c>
      <c r="D55" s="83" t="s">
        <v>142</v>
      </c>
      <c r="E55" s="85">
        <v>2E-3</v>
      </c>
      <c r="F55" s="85"/>
      <c r="G55" s="89"/>
      <c r="H55" s="87"/>
      <c r="I55" s="88"/>
      <c r="J55" s="88"/>
      <c r="K55" s="88"/>
      <c r="L55" s="89"/>
      <c r="M55" s="89"/>
    </row>
    <row r="56" spans="1:13" s="43" customFormat="1" ht="21" hidden="1" outlineLevel="1">
      <c r="A56" s="90" t="s">
        <v>184</v>
      </c>
      <c r="B56" s="91" t="s">
        <v>150</v>
      </c>
      <c r="C56" s="92" t="s">
        <v>151</v>
      </c>
      <c r="D56" s="91" t="s">
        <v>148</v>
      </c>
      <c r="E56" s="93">
        <v>1.439E-3</v>
      </c>
      <c r="F56" s="93"/>
      <c r="G56" s="94"/>
      <c r="H56" s="95">
        <v>12979</v>
      </c>
      <c r="I56" s="96"/>
      <c r="J56" s="96">
        <v>12325</v>
      </c>
      <c r="K56" s="96"/>
      <c r="L56" s="97"/>
      <c r="M56" s="97"/>
    </row>
    <row r="57" spans="1:13" s="43" customFormat="1" hidden="1" outlineLevel="2">
      <c r="A57" s="98" t="s">
        <v>184</v>
      </c>
      <c r="B57" s="99"/>
      <c r="C57" s="100" t="s">
        <v>152</v>
      </c>
      <c r="D57" s="101" t="s">
        <v>142</v>
      </c>
      <c r="E57" s="102">
        <v>1.439E-3</v>
      </c>
      <c r="F57" s="102"/>
      <c r="G57" s="103"/>
      <c r="H57" s="102">
        <v>3888</v>
      </c>
      <c r="I57" s="104"/>
      <c r="J57" s="104">
        <v>3692.08</v>
      </c>
      <c r="K57" s="96"/>
      <c r="L57" s="97"/>
      <c r="M57" s="97"/>
    </row>
    <row r="58" spans="1:13" s="43" customFormat="1" hidden="1" outlineLevel="1">
      <c r="A58" s="90" t="s">
        <v>185</v>
      </c>
      <c r="B58" s="91" t="s">
        <v>154</v>
      </c>
      <c r="C58" s="92" t="s">
        <v>155</v>
      </c>
      <c r="D58" s="91" t="s">
        <v>148</v>
      </c>
      <c r="E58" s="93">
        <v>1.439E-3</v>
      </c>
      <c r="F58" s="93"/>
      <c r="G58" s="94"/>
      <c r="H58" s="95">
        <v>8363</v>
      </c>
      <c r="I58" s="96"/>
      <c r="J58" s="96">
        <v>7942</v>
      </c>
      <c r="K58" s="96"/>
      <c r="L58" s="97"/>
      <c r="M58" s="97"/>
    </row>
    <row r="59" spans="1:13" s="43" customFormat="1" hidden="1" outlineLevel="2">
      <c r="A59" s="98" t="s">
        <v>185</v>
      </c>
      <c r="B59" s="99"/>
      <c r="C59" s="100" t="s">
        <v>152</v>
      </c>
      <c r="D59" s="101" t="s">
        <v>142</v>
      </c>
      <c r="E59" s="102">
        <v>1.439E-3</v>
      </c>
      <c r="F59" s="102"/>
      <c r="G59" s="103"/>
      <c r="H59" s="102">
        <v>2722</v>
      </c>
      <c r="I59" s="104"/>
      <c r="J59" s="104">
        <v>2584.83</v>
      </c>
      <c r="K59" s="96"/>
      <c r="L59" s="97"/>
      <c r="M59" s="97"/>
    </row>
    <row r="60" spans="1:13" s="43" customFormat="1" hidden="1" outlineLevel="1">
      <c r="A60" s="105" t="s">
        <v>186</v>
      </c>
      <c r="B60" s="106" t="s">
        <v>187</v>
      </c>
      <c r="C60" s="107" t="s">
        <v>188</v>
      </c>
      <c r="D60" s="106" t="s">
        <v>162</v>
      </c>
      <c r="E60" s="108">
        <v>1.6000000000000001E-3</v>
      </c>
      <c r="F60" s="108"/>
      <c r="G60" s="109">
        <v>1293</v>
      </c>
      <c r="H60" s="110"/>
      <c r="I60" s="111"/>
      <c r="J60" s="111"/>
      <c r="K60" s="111">
        <v>1365</v>
      </c>
      <c r="L60" s="97"/>
      <c r="M60" s="97"/>
    </row>
    <row r="61" spans="1:13" s="74" customFormat="1" ht="24" collapsed="1">
      <c r="A61" s="65" t="s">
        <v>40</v>
      </c>
      <c r="B61" s="66" t="s">
        <v>189</v>
      </c>
      <c r="C61" s="241" t="s">
        <v>190</v>
      </c>
      <c r="D61" s="68" t="s">
        <v>191</v>
      </c>
      <c r="E61" s="69"/>
      <c r="F61" s="112">
        <v>220</v>
      </c>
      <c r="G61" s="71">
        <v>720</v>
      </c>
      <c r="H61" s="113"/>
      <c r="I61" s="72">
        <f t="shared" ref="I61:I63" si="28">G61*F61</f>
        <v>158400</v>
      </c>
      <c r="J61" s="72">
        <f t="shared" ref="J61:J63" si="29">H61*F61</f>
        <v>0</v>
      </c>
      <c r="K61" s="72">
        <f t="shared" ref="K61:K63" si="30">I61-I62-J61</f>
        <v>158400</v>
      </c>
      <c r="L61" s="72">
        <f t="shared" ref="L61:L63" si="31">(I62+J62)*E61</f>
        <v>0</v>
      </c>
      <c r="M61" s="73">
        <f t="shared" ref="M61:M63" si="32">I61+L61+L62</f>
        <v>158400</v>
      </c>
    </row>
    <row r="62" spans="1:13" s="74" customFormat="1">
      <c r="A62" s="75"/>
      <c r="B62" s="76"/>
      <c r="C62" s="77"/>
      <c r="D62" s="78"/>
      <c r="E62" s="79"/>
      <c r="F62" s="78"/>
      <c r="G62" s="114"/>
      <c r="H62" s="114"/>
      <c r="I62" s="81">
        <f t="shared" ref="I62:I64" si="33">G62*F61</f>
        <v>0</v>
      </c>
      <c r="J62" s="81">
        <f t="shared" ref="J62:J64" si="34">H62*F61</f>
        <v>0</v>
      </c>
      <c r="K62" s="81"/>
      <c r="L62" s="81"/>
      <c r="M62" s="81"/>
    </row>
    <row r="63" spans="1:13" s="74" customFormat="1" ht="24">
      <c r="A63" s="65" t="s">
        <v>42</v>
      </c>
      <c r="B63" s="66" t="s">
        <v>192</v>
      </c>
      <c r="C63" s="67" t="s">
        <v>193</v>
      </c>
      <c r="D63" s="68" t="s">
        <v>179</v>
      </c>
      <c r="E63" s="69"/>
      <c r="F63" s="112">
        <v>106</v>
      </c>
      <c r="G63" s="71">
        <v>234</v>
      </c>
      <c r="H63" s="71">
        <v>84</v>
      </c>
      <c r="I63" s="72">
        <f t="shared" si="28"/>
        <v>24804</v>
      </c>
      <c r="J63" s="72">
        <f t="shared" si="29"/>
        <v>8904</v>
      </c>
      <c r="K63" s="72">
        <f t="shared" si="30"/>
        <v>424</v>
      </c>
      <c r="L63" s="72">
        <f t="shared" si="31"/>
        <v>0</v>
      </c>
      <c r="M63" s="73">
        <f t="shared" si="32"/>
        <v>24804</v>
      </c>
    </row>
    <row r="64" spans="1:13" s="74" customFormat="1">
      <c r="A64" s="75"/>
      <c r="B64" s="76"/>
      <c r="C64" s="77"/>
      <c r="D64" s="78"/>
      <c r="E64" s="79"/>
      <c r="F64" s="78"/>
      <c r="G64" s="80">
        <v>146</v>
      </c>
      <c r="H64" s="80">
        <v>26</v>
      </c>
      <c r="I64" s="81">
        <f t="shared" si="33"/>
        <v>15476</v>
      </c>
      <c r="J64" s="81">
        <f t="shared" si="34"/>
        <v>2756</v>
      </c>
      <c r="K64" s="81"/>
      <c r="L64" s="81"/>
      <c r="M64" s="81"/>
    </row>
    <row r="65" spans="1:13" s="43" customFormat="1" ht="21" hidden="1" outlineLevel="1">
      <c r="A65" s="82" t="s">
        <v>194</v>
      </c>
      <c r="B65" s="83" t="s">
        <v>181</v>
      </c>
      <c r="C65" s="84" t="s">
        <v>182</v>
      </c>
      <c r="D65" s="83" t="s">
        <v>142</v>
      </c>
      <c r="E65" s="85">
        <v>2.6200000000000001E-2</v>
      </c>
      <c r="F65" s="85"/>
      <c r="G65" s="86">
        <v>5590</v>
      </c>
      <c r="H65" s="87"/>
      <c r="I65" s="88">
        <v>46867</v>
      </c>
      <c r="J65" s="88"/>
      <c r="K65" s="88"/>
      <c r="L65" s="89"/>
      <c r="M65" s="89"/>
    </row>
    <row r="66" spans="1:13" s="43" customFormat="1" hidden="1" outlineLevel="1">
      <c r="A66" s="82" t="s">
        <v>195</v>
      </c>
      <c r="B66" s="83" t="s">
        <v>34</v>
      </c>
      <c r="C66" s="84" t="s">
        <v>144</v>
      </c>
      <c r="D66" s="83" t="s">
        <v>142</v>
      </c>
      <c r="E66" s="85">
        <v>8.0000000000000002E-3</v>
      </c>
      <c r="F66" s="85"/>
      <c r="G66" s="89"/>
      <c r="H66" s="87"/>
      <c r="I66" s="88"/>
      <c r="J66" s="88"/>
      <c r="K66" s="88"/>
      <c r="L66" s="89"/>
      <c r="M66" s="89"/>
    </row>
    <row r="67" spans="1:13" s="43" customFormat="1" ht="21" hidden="1" outlineLevel="1">
      <c r="A67" s="90" t="s">
        <v>196</v>
      </c>
      <c r="B67" s="91" t="s">
        <v>150</v>
      </c>
      <c r="C67" s="92" t="s">
        <v>151</v>
      </c>
      <c r="D67" s="91" t="s">
        <v>148</v>
      </c>
      <c r="E67" s="93">
        <v>3.9240000000000004E-3</v>
      </c>
      <c r="F67" s="93"/>
      <c r="G67" s="94"/>
      <c r="H67" s="95">
        <v>12979</v>
      </c>
      <c r="I67" s="96"/>
      <c r="J67" s="96">
        <v>16297</v>
      </c>
      <c r="K67" s="96"/>
      <c r="L67" s="97"/>
      <c r="M67" s="97"/>
    </row>
    <row r="68" spans="1:13" s="43" customFormat="1" hidden="1" outlineLevel="2">
      <c r="A68" s="98" t="s">
        <v>196</v>
      </c>
      <c r="B68" s="99"/>
      <c r="C68" s="100" t="s">
        <v>152</v>
      </c>
      <c r="D68" s="101" t="s">
        <v>142</v>
      </c>
      <c r="E68" s="102">
        <v>3.9240000000000004E-3</v>
      </c>
      <c r="F68" s="102"/>
      <c r="G68" s="103"/>
      <c r="H68" s="102">
        <v>3888</v>
      </c>
      <c r="I68" s="104"/>
      <c r="J68" s="104">
        <v>4882.08</v>
      </c>
      <c r="K68" s="96"/>
      <c r="L68" s="97"/>
      <c r="M68" s="97"/>
    </row>
    <row r="69" spans="1:13" s="43" customFormat="1" hidden="1" outlineLevel="1">
      <c r="A69" s="90" t="s">
        <v>197</v>
      </c>
      <c r="B69" s="91" t="s">
        <v>154</v>
      </c>
      <c r="C69" s="92" t="s">
        <v>155</v>
      </c>
      <c r="D69" s="91" t="s">
        <v>148</v>
      </c>
      <c r="E69" s="93">
        <v>3.9240000000000004E-3</v>
      </c>
      <c r="F69" s="93"/>
      <c r="G69" s="94"/>
      <c r="H69" s="95">
        <v>8363</v>
      </c>
      <c r="I69" s="96"/>
      <c r="J69" s="96">
        <v>10501</v>
      </c>
      <c r="K69" s="96"/>
      <c r="L69" s="97"/>
      <c r="M69" s="97"/>
    </row>
    <row r="70" spans="1:13" s="43" customFormat="1" hidden="1" outlineLevel="2">
      <c r="A70" s="98" t="s">
        <v>197</v>
      </c>
      <c r="B70" s="99"/>
      <c r="C70" s="100" t="s">
        <v>152</v>
      </c>
      <c r="D70" s="101" t="s">
        <v>142</v>
      </c>
      <c r="E70" s="102">
        <v>3.9240000000000004E-3</v>
      </c>
      <c r="F70" s="102"/>
      <c r="G70" s="103"/>
      <c r="H70" s="102">
        <v>2722</v>
      </c>
      <c r="I70" s="104"/>
      <c r="J70" s="104">
        <v>3417.96</v>
      </c>
      <c r="K70" s="96"/>
      <c r="L70" s="97"/>
      <c r="M70" s="97"/>
    </row>
    <row r="71" spans="1:13" s="43" customFormat="1" hidden="1" outlineLevel="1">
      <c r="A71" s="105" t="s">
        <v>198</v>
      </c>
      <c r="B71" s="106" t="s">
        <v>187</v>
      </c>
      <c r="C71" s="107" t="s">
        <v>188</v>
      </c>
      <c r="D71" s="106" t="s">
        <v>162</v>
      </c>
      <c r="E71" s="108">
        <v>3.0999999999999999E-3</v>
      </c>
      <c r="F71" s="108"/>
      <c r="G71" s="109">
        <v>1293</v>
      </c>
      <c r="H71" s="110"/>
      <c r="I71" s="111"/>
      <c r="J71" s="111"/>
      <c r="K71" s="111">
        <v>1283</v>
      </c>
      <c r="L71" s="97"/>
      <c r="M71" s="97"/>
    </row>
    <row r="72" spans="1:13" s="74" customFormat="1" ht="24" collapsed="1">
      <c r="A72" s="65" t="s">
        <v>44</v>
      </c>
      <c r="B72" s="66" t="s">
        <v>199</v>
      </c>
      <c r="C72" s="241" t="s">
        <v>200</v>
      </c>
      <c r="D72" s="68" t="s">
        <v>191</v>
      </c>
      <c r="E72" s="69"/>
      <c r="F72" s="112">
        <v>106</v>
      </c>
      <c r="G72" s="71">
        <v>819</v>
      </c>
      <c r="H72" s="113"/>
      <c r="I72" s="72">
        <f t="shared" ref="I72" si="35">G72*F72</f>
        <v>86814</v>
      </c>
      <c r="J72" s="72">
        <f t="shared" ref="J72" si="36">H72*F72</f>
        <v>0</v>
      </c>
      <c r="K72" s="72">
        <f t="shared" ref="K72" si="37">I72-I73-J72</f>
        <v>86814</v>
      </c>
      <c r="L72" s="72">
        <f t="shared" ref="L72" si="38">(I73+J73)*E72</f>
        <v>0</v>
      </c>
      <c r="M72" s="73">
        <f t="shared" ref="M72" si="39">I72+L72+L73</f>
        <v>86814</v>
      </c>
    </row>
    <row r="73" spans="1:13" s="74" customFormat="1">
      <c r="A73" s="75"/>
      <c r="B73" s="76"/>
      <c r="C73" s="77"/>
      <c r="D73" s="78"/>
      <c r="E73" s="79"/>
      <c r="F73" s="78"/>
      <c r="G73" s="114"/>
      <c r="H73" s="114"/>
      <c r="I73" s="81">
        <f t="shared" ref="I73" si="40">G73*F72</f>
        <v>0</v>
      </c>
      <c r="J73" s="81">
        <f t="shared" ref="J73" si="41">H73*F72</f>
        <v>0</v>
      </c>
      <c r="K73" s="81"/>
      <c r="L73" s="81"/>
      <c r="M73" s="81"/>
    </row>
    <row r="74" spans="1:13" s="74" customFormat="1" ht="36">
      <c r="A74" s="65" t="s">
        <v>46</v>
      </c>
      <c r="B74" s="66" t="s">
        <v>201</v>
      </c>
      <c r="C74" s="67" t="s">
        <v>202</v>
      </c>
      <c r="D74" s="68" t="s">
        <v>179</v>
      </c>
      <c r="E74" s="69"/>
      <c r="F74" s="112">
        <v>163</v>
      </c>
      <c r="G74" s="71">
        <v>2002</v>
      </c>
      <c r="H74" s="71">
        <v>181</v>
      </c>
      <c r="I74" s="72">
        <f t="shared" ref="I74:I88" si="42">G74*F74</f>
        <v>326326</v>
      </c>
      <c r="J74" s="72">
        <f t="shared" ref="J74:J88" si="43">H74*F74</f>
        <v>29503</v>
      </c>
      <c r="K74" s="72">
        <f t="shared" ref="K74:K88" si="44">I74-I75-J74</f>
        <v>10921</v>
      </c>
      <c r="L74" s="72">
        <f t="shared" ref="L74:L88" si="45">(I75+J75)*E74</f>
        <v>0</v>
      </c>
      <c r="M74" s="73">
        <f t="shared" ref="M74:M88" si="46">I74+L74+L75</f>
        <v>326326</v>
      </c>
    </row>
    <row r="75" spans="1:13" s="74" customFormat="1">
      <c r="A75" s="75"/>
      <c r="B75" s="76"/>
      <c r="C75" s="77"/>
      <c r="D75" s="78"/>
      <c r="E75" s="79"/>
      <c r="F75" s="78"/>
      <c r="G75" s="80">
        <v>1754</v>
      </c>
      <c r="H75" s="80">
        <v>36</v>
      </c>
      <c r="I75" s="81">
        <f t="shared" ref="I75:I89" si="47">G75*F74</f>
        <v>285902</v>
      </c>
      <c r="J75" s="81">
        <f t="shared" ref="J75:J89" si="48">H75*F74</f>
        <v>5868</v>
      </c>
      <c r="K75" s="81"/>
      <c r="L75" s="81"/>
      <c r="M75" s="81"/>
    </row>
    <row r="76" spans="1:13" s="43" customFormat="1" ht="21" hidden="1" outlineLevel="1">
      <c r="A76" s="82" t="s">
        <v>203</v>
      </c>
      <c r="B76" s="83" t="s">
        <v>181</v>
      </c>
      <c r="C76" s="84" t="s">
        <v>182</v>
      </c>
      <c r="D76" s="83" t="s">
        <v>142</v>
      </c>
      <c r="E76" s="85">
        <v>0.31390000000000001</v>
      </c>
      <c r="F76" s="85"/>
      <c r="G76" s="86">
        <v>5590</v>
      </c>
      <c r="H76" s="87"/>
      <c r="I76" s="88">
        <f t="shared" si="42"/>
        <v>0</v>
      </c>
      <c r="J76" s="88">
        <f t="shared" si="43"/>
        <v>0</v>
      </c>
      <c r="K76" s="88">
        <f t="shared" si="44"/>
        <v>0</v>
      </c>
      <c r="L76" s="89">
        <f t="shared" si="45"/>
        <v>0</v>
      </c>
      <c r="M76" s="89">
        <f t="shared" si="46"/>
        <v>0</v>
      </c>
    </row>
    <row r="77" spans="1:13" s="43" customFormat="1" hidden="1" outlineLevel="1">
      <c r="A77" s="82" t="s">
        <v>204</v>
      </c>
      <c r="B77" s="83" t="s">
        <v>34</v>
      </c>
      <c r="C77" s="84" t="s">
        <v>144</v>
      </c>
      <c r="D77" s="83" t="s">
        <v>142</v>
      </c>
      <c r="E77" s="85">
        <v>0.01</v>
      </c>
      <c r="F77" s="85"/>
      <c r="G77" s="89"/>
      <c r="H77" s="87"/>
      <c r="I77" s="88">
        <f t="shared" si="47"/>
        <v>0</v>
      </c>
      <c r="J77" s="88">
        <f t="shared" si="48"/>
        <v>0</v>
      </c>
      <c r="K77" s="88"/>
      <c r="L77" s="89"/>
      <c r="M77" s="89"/>
    </row>
    <row r="78" spans="1:13" s="43" customFormat="1" hidden="1" outlineLevel="1">
      <c r="A78" s="90" t="s">
        <v>205</v>
      </c>
      <c r="B78" s="91" t="s">
        <v>146</v>
      </c>
      <c r="C78" s="92" t="s">
        <v>147</v>
      </c>
      <c r="D78" s="91" t="s">
        <v>148</v>
      </c>
      <c r="E78" s="93">
        <v>0.28776000000000002</v>
      </c>
      <c r="F78" s="93"/>
      <c r="G78" s="94"/>
      <c r="H78" s="95">
        <v>230</v>
      </c>
      <c r="I78" s="96">
        <f t="shared" si="42"/>
        <v>0</v>
      </c>
      <c r="J78" s="96">
        <f t="shared" si="43"/>
        <v>0</v>
      </c>
      <c r="K78" s="96">
        <f t="shared" si="44"/>
        <v>0</v>
      </c>
      <c r="L78" s="97">
        <f t="shared" si="45"/>
        <v>0</v>
      </c>
      <c r="M78" s="97">
        <f t="shared" si="46"/>
        <v>0</v>
      </c>
    </row>
    <row r="79" spans="1:13" s="43" customFormat="1" ht="21" hidden="1" outlineLevel="1">
      <c r="A79" s="90" t="s">
        <v>206</v>
      </c>
      <c r="B79" s="91" t="s">
        <v>150</v>
      </c>
      <c r="C79" s="92" t="s">
        <v>151</v>
      </c>
      <c r="D79" s="91" t="s">
        <v>148</v>
      </c>
      <c r="E79" s="93">
        <v>5.3629999999999997E-3</v>
      </c>
      <c r="F79" s="93"/>
      <c r="G79" s="94"/>
      <c r="H79" s="95">
        <v>12979</v>
      </c>
      <c r="I79" s="96">
        <f t="shared" si="47"/>
        <v>0</v>
      </c>
      <c r="J79" s="96">
        <f t="shared" si="48"/>
        <v>0</v>
      </c>
      <c r="K79" s="96"/>
      <c r="L79" s="97"/>
      <c r="M79" s="97"/>
    </row>
    <row r="80" spans="1:13" s="43" customFormat="1" hidden="1" outlineLevel="2">
      <c r="A80" s="98" t="s">
        <v>206</v>
      </c>
      <c r="B80" s="99"/>
      <c r="C80" s="100" t="s">
        <v>152</v>
      </c>
      <c r="D80" s="101" t="s">
        <v>142</v>
      </c>
      <c r="E80" s="102">
        <v>5.3629999999999997E-3</v>
      </c>
      <c r="F80" s="102"/>
      <c r="G80" s="103"/>
      <c r="H80" s="102">
        <v>3888</v>
      </c>
      <c r="I80" s="104">
        <f t="shared" si="42"/>
        <v>0</v>
      </c>
      <c r="J80" s="104">
        <f t="shared" si="43"/>
        <v>0</v>
      </c>
      <c r="K80" s="96">
        <f t="shared" si="44"/>
        <v>0</v>
      </c>
      <c r="L80" s="97">
        <f t="shared" si="45"/>
        <v>0</v>
      </c>
      <c r="M80" s="97">
        <f t="shared" si="46"/>
        <v>0</v>
      </c>
    </row>
    <row r="81" spans="1:13" s="43" customFormat="1" hidden="1" outlineLevel="1">
      <c r="A81" s="90" t="s">
        <v>207</v>
      </c>
      <c r="B81" s="91" t="s">
        <v>154</v>
      </c>
      <c r="C81" s="92" t="s">
        <v>155</v>
      </c>
      <c r="D81" s="91" t="s">
        <v>148</v>
      </c>
      <c r="E81" s="93">
        <v>5.3629999999999997E-3</v>
      </c>
      <c r="F81" s="93"/>
      <c r="G81" s="94"/>
      <c r="H81" s="95">
        <v>8363</v>
      </c>
      <c r="I81" s="96">
        <f t="shared" si="47"/>
        <v>0</v>
      </c>
      <c r="J81" s="96">
        <f t="shared" si="48"/>
        <v>0</v>
      </c>
      <c r="K81" s="96"/>
      <c r="L81" s="97"/>
      <c r="M81" s="97"/>
    </row>
    <row r="82" spans="1:13" s="43" customFormat="1" hidden="1" outlineLevel="2">
      <c r="A82" s="98" t="s">
        <v>207</v>
      </c>
      <c r="B82" s="99"/>
      <c r="C82" s="100" t="s">
        <v>152</v>
      </c>
      <c r="D82" s="101" t="s">
        <v>142</v>
      </c>
      <c r="E82" s="102">
        <v>5.3629999999999997E-3</v>
      </c>
      <c r="F82" s="102"/>
      <c r="G82" s="103"/>
      <c r="H82" s="102">
        <v>2722</v>
      </c>
      <c r="I82" s="104">
        <f t="shared" si="42"/>
        <v>0</v>
      </c>
      <c r="J82" s="104">
        <f t="shared" si="43"/>
        <v>0</v>
      </c>
      <c r="K82" s="96">
        <f t="shared" si="44"/>
        <v>0</v>
      </c>
      <c r="L82" s="97">
        <f t="shared" si="45"/>
        <v>0</v>
      </c>
      <c r="M82" s="97">
        <f t="shared" si="46"/>
        <v>0</v>
      </c>
    </row>
    <row r="83" spans="1:13" s="43" customFormat="1" hidden="1" outlineLevel="1">
      <c r="A83" s="105" t="s">
        <v>208</v>
      </c>
      <c r="B83" s="106" t="s">
        <v>209</v>
      </c>
      <c r="C83" s="107" t="s">
        <v>210</v>
      </c>
      <c r="D83" s="106" t="s">
        <v>211</v>
      </c>
      <c r="E83" s="108">
        <v>4.3999999999999997E-2</v>
      </c>
      <c r="F83" s="108"/>
      <c r="G83" s="109">
        <v>322</v>
      </c>
      <c r="H83" s="110"/>
      <c r="I83" s="111">
        <f t="shared" si="47"/>
        <v>0</v>
      </c>
      <c r="J83" s="111">
        <f t="shared" si="48"/>
        <v>0</v>
      </c>
      <c r="K83" s="111"/>
      <c r="L83" s="97"/>
      <c r="M83" s="97"/>
    </row>
    <row r="84" spans="1:13" s="43" customFormat="1" hidden="1" outlineLevel="1">
      <c r="A84" s="105" t="s">
        <v>212</v>
      </c>
      <c r="B84" s="106" t="s">
        <v>187</v>
      </c>
      <c r="C84" s="107" t="s">
        <v>188</v>
      </c>
      <c r="D84" s="106" t="s">
        <v>162</v>
      </c>
      <c r="E84" s="108">
        <v>6.0000000000000001E-3</v>
      </c>
      <c r="F84" s="108"/>
      <c r="G84" s="109">
        <v>1293</v>
      </c>
      <c r="H84" s="110"/>
      <c r="I84" s="111">
        <f t="shared" si="42"/>
        <v>0</v>
      </c>
      <c r="J84" s="111">
        <f t="shared" si="43"/>
        <v>0</v>
      </c>
      <c r="K84" s="111">
        <f t="shared" si="44"/>
        <v>0</v>
      </c>
      <c r="L84" s="97">
        <f t="shared" si="45"/>
        <v>0</v>
      </c>
      <c r="M84" s="97">
        <f t="shared" si="46"/>
        <v>0</v>
      </c>
    </row>
    <row r="85" spans="1:13" s="43" customFormat="1" ht="21" hidden="1" outlineLevel="1">
      <c r="A85" s="105" t="s">
        <v>213</v>
      </c>
      <c r="B85" s="106" t="s">
        <v>160</v>
      </c>
      <c r="C85" s="107" t="s">
        <v>161</v>
      </c>
      <c r="D85" s="106" t="s">
        <v>162</v>
      </c>
      <c r="E85" s="108">
        <v>3.6799999999999999E-2</v>
      </c>
      <c r="F85" s="108"/>
      <c r="G85" s="109">
        <v>1215</v>
      </c>
      <c r="H85" s="110"/>
      <c r="I85" s="111">
        <f t="shared" si="47"/>
        <v>0</v>
      </c>
      <c r="J85" s="111">
        <f t="shared" si="48"/>
        <v>0</v>
      </c>
      <c r="K85" s="111"/>
      <c r="L85" s="97"/>
      <c r="M85" s="97"/>
    </row>
    <row r="86" spans="1:13" s="74" customFormat="1" ht="24" collapsed="1">
      <c r="A86" s="65" t="s">
        <v>48</v>
      </c>
      <c r="B86" s="66" t="s">
        <v>214</v>
      </c>
      <c r="C86" s="241" t="s">
        <v>215</v>
      </c>
      <c r="D86" s="68" t="s">
        <v>191</v>
      </c>
      <c r="E86" s="69"/>
      <c r="F86" s="112">
        <v>163</v>
      </c>
      <c r="G86" s="71">
        <v>825</v>
      </c>
      <c r="H86" s="113"/>
      <c r="I86" s="72">
        <f t="shared" si="42"/>
        <v>134475</v>
      </c>
      <c r="J86" s="72">
        <f t="shared" si="43"/>
        <v>0</v>
      </c>
      <c r="K86" s="72">
        <f t="shared" si="44"/>
        <v>134475</v>
      </c>
      <c r="L86" s="72">
        <f t="shared" si="45"/>
        <v>0</v>
      </c>
      <c r="M86" s="73">
        <f t="shared" si="46"/>
        <v>134475</v>
      </c>
    </row>
    <row r="87" spans="1:13" s="74" customFormat="1">
      <c r="A87" s="75"/>
      <c r="B87" s="76"/>
      <c r="C87" s="77"/>
      <c r="D87" s="78"/>
      <c r="E87" s="79"/>
      <c r="F87" s="78"/>
      <c r="G87" s="114"/>
      <c r="H87" s="114"/>
      <c r="I87" s="81">
        <f t="shared" si="47"/>
        <v>0</v>
      </c>
      <c r="J87" s="81">
        <f t="shared" si="48"/>
        <v>0</v>
      </c>
      <c r="K87" s="81"/>
      <c r="L87" s="81"/>
      <c r="M87" s="81"/>
    </row>
    <row r="88" spans="1:13" s="74" customFormat="1" ht="24">
      <c r="A88" s="65" t="s">
        <v>50</v>
      </c>
      <c r="B88" s="66" t="s">
        <v>216</v>
      </c>
      <c r="C88" s="241" t="s">
        <v>217</v>
      </c>
      <c r="D88" s="68" t="s">
        <v>191</v>
      </c>
      <c r="E88" s="69"/>
      <c r="F88" s="112">
        <v>327</v>
      </c>
      <c r="G88" s="71">
        <v>148</v>
      </c>
      <c r="H88" s="113"/>
      <c r="I88" s="72">
        <f t="shared" si="42"/>
        <v>48396</v>
      </c>
      <c r="J88" s="72">
        <f t="shared" si="43"/>
        <v>0</v>
      </c>
      <c r="K88" s="72">
        <f t="shared" si="44"/>
        <v>48396</v>
      </c>
      <c r="L88" s="72">
        <f t="shared" si="45"/>
        <v>0</v>
      </c>
      <c r="M88" s="73">
        <f t="shared" si="46"/>
        <v>48396</v>
      </c>
    </row>
    <row r="89" spans="1:13" s="74" customFormat="1">
      <c r="A89" s="75"/>
      <c r="B89" s="76"/>
      <c r="C89" s="77"/>
      <c r="D89" s="78"/>
      <c r="E89" s="79"/>
      <c r="F89" s="78"/>
      <c r="G89" s="114"/>
      <c r="H89" s="114"/>
      <c r="I89" s="81">
        <f t="shared" si="47"/>
        <v>0</v>
      </c>
      <c r="J89" s="81">
        <f t="shared" si="48"/>
        <v>0</v>
      </c>
      <c r="K89" s="81"/>
      <c r="L89" s="81"/>
      <c r="M89" s="81"/>
    </row>
    <row r="90" spans="1:13" s="74" customFormat="1" ht="48">
      <c r="A90" s="65" t="s">
        <v>52</v>
      </c>
      <c r="B90" s="66" t="s">
        <v>135</v>
      </c>
      <c r="C90" s="67" t="s">
        <v>136</v>
      </c>
      <c r="D90" s="68" t="s">
        <v>137</v>
      </c>
      <c r="E90" s="69"/>
      <c r="F90" s="70">
        <v>1.9599999999999999E-2</v>
      </c>
      <c r="G90" s="71">
        <v>458904</v>
      </c>
      <c r="H90" s="71">
        <v>47489</v>
      </c>
      <c r="I90" s="72">
        <f t="shared" ref="I90" si="49">G90*F90</f>
        <v>8994.518399999999</v>
      </c>
      <c r="J90" s="72">
        <f t="shared" ref="J90" si="50">H90*F90</f>
        <v>930.78440000000001</v>
      </c>
      <c r="K90" s="72">
        <f t="shared" ref="K90" si="51">I90-I91-J90</f>
        <v>155.19279999999935</v>
      </c>
      <c r="L90" s="72">
        <f t="shared" ref="L90" si="52">(I91+J91)*E90</f>
        <v>0</v>
      </c>
      <c r="M90" s="73">
        <f t="shared" ref="M90" si="53">I90+L90+L91</f>
        <v>8994.518399999999</v>
      </c>
    </row>
    <row r="91" spans="1:13" s="74" customFormat="1">
      <c r="A91" s="75"/>
      <c r="B91" s="76"/>
      <c r="C91" s="77"/>
      <c r="D91" s="78"/>
      <c r="E91" s="79"/>
      <c r="F91" s="78"/>
      <c r="G91" s="80">
        <v>403497</v>
      </c>
      <c r="H91" s="80">
        <v>13487</v>
      </c>
      <c r="I91" s="81">
        <f t="shared" ref="I91" si="54">G91*F90</f>
        <v>7908.5411999999997</v>
      </c>
      <c r="J91" s="81">
        <f t="shared" ref="J91" si="55">H91*F90</f>
        <v>264.34519999999998</v>
      </c>
      <c r="K91" s="81"/>
      <c r="L91" s="81"/>
      <c r="M91" s="81"/>
    </row>
    <row r="92" spans="1:13" s="43" customFormat="1" ht="21" hidden="1" outlineLevel="1">
      <c r="A92" s="82" t="s">
        <v>218</v>
      </c>
      <c r="B92" s="83" t="s">
        <v>140</v>
      </c>
      <c r="C92" s="84" t="s">
        <v>141</v>
      </c>
      <c r="D92" s="83" t="s">
        <v>142</v>
      </c>
      <c r="E92" s="85">
        <v>74.555999999999997</v>
      </c>
      <c r="F92" s="85"/>
      <c r="G92" s="86">
        <v>5412</v>
      </c>
      <c r="H92" s="87"/>
      <c r="I92" s="88">
        <v>23726</v>
      </c>
      <c r="J92" s="88"/>
      <c r="K92" s="88"/>
      <c r="L92" s="89"/>
      <c r="M92" s="89"/>
    </row>
    <row r="93" spans="1:13" s="43" customFormat="1" hidden="1" outlineLevel="1">
      <c r="A93" s="82" t="s">
        <v>219</v>
      </c>
      <c r="B93" s="83" t="s">
        <v>34</v>
      </c>
      <c r="C93" s="84" t="s">
        <v>144</v>
      </c>
      <c r="D93" s="83" t="s">
        <v>142</v>
      </c>
      <c r="E93" s="85">
        <v>4.08</v>
      </c>
      <c r="F93" s="85"/>
      <c r="G93" s="89"/>
      <c r="H93" s="87"/>
      <c r="I93" s="88"/>
      <c r="J93" s="88"/>
      <c r="K93" s="88"/>
      <c r="L93" s="89"/>
      <c r="M93" s="89"/>
    </row>
    <row r="94" spans="1:13" s="43" customFormat="1" hidden="1" outlineLevel="1">
      <c r="A94" s="90" t="s">
        <v>220</v>
      </c>
      <c r="B94" s="91" t="s">
        <v>146</v>
      </c>
      <c r="C94" s="92" t="s">
        <v>147</v>
      </c>
      <c r="D94" s="91" t="s">
        <v>148</v>
      </c>
      <c r="E94" s="93">
        <v>17.134799999999998</v>
      </c>
      <c r="F94" s="93"/>
      <c r="G94" s="94"/>
      <c r="H94" s="95">
        <v>230</v>
      </c>
      <c r="I94" s="96"/>
      <c r="J94" s="96">
        <v>232</v>
      </c>
      <c r="K94" s="96"/>
      <c r="L94" s="97"/>
      <c r="M94" s="97"/>
    </row>
    <row r="95" spans="1:13" s="43" customFormat="1" ht="21" hidden="1" outlineLevel="1">
      <c r="A95" s="90" t="s">
        <v>221</v>
      </c>
      <c r="B95" s="91" t="s">
        <v>150</v>
      </c>
      <c r="C95" s="92" t="s">
        <v>151</v>
      </c>
      <c r="D95" s="91" t="s">
        <v>148</v>
      </c>
      <c r="E95" s="93">
        <v>2.0404800000000001</v>
      </c>
      <c r="F95" s="93"/>
      <c r="G95" s="94"/>
      <c r="H95" s="95">
        <v>12979</v>
      </c>
      <c r="I95" s="96"/>
      <c r="J95" s="96">
        <v>1557</v>
      </c>
      <c r="K95" s="96"/>
      <c r="L95" s="97"/>
      <c r="M95" s="97"/>
    </row>
    <row r="96" spans="1:13" s="43" customFormat="1" hidden="1" outlineLevel="2">
      <c r="A96" s="98" t="s">
        <v>221</v>
      </c>
      <c r="B96" s="99"/>
      <c r="C96" s="100" t="s">
        <v>152</v>
      </c>
      <c r="D96" s="101" t="s">
        <v>142</v>
      </c>
      <c r="E96" s="102">
        <v>2.0404800000000001</v>
      </c>
      <c r="F96" s="102"/>
      <c r="G96" s="103"/>
      <c r="H96" s="102">
        <v>3888</v>
      </c>
      <c r="I96" s="104"/>
      <c r="J96" s="104">
        <v>466.48</v>
      </c>
      <c r="K96" s="96"/>
      <c r="L96" s="97"/>
      <c r="M96" s="97"/>
    </row>
    <row r="97" spans="1:13" s="43" customFormat="1" hidden="1" outlineLevel="1">
      <c r="A97" s="90" t="s">
        <v>222</v>
      </c>
      <c r="B97" s="91" t="s">
        <v>154</v>
      </c>
      <c r="C97" s="92" t="s">
        <v>155</v>
      </c>
      <c r="D97" s="91" t="s">
        <v>148</v>
      </c>
      <c r="E97" s="93">
        <v>2.0404800000000001</v>
      </c>
      <c r="F97" s="93"/>
      <c r="G97" s="94"/>
      <c r="H97" s="95">
        <v>8363</v>
      </c>
      <c r="I97" s="96"/>
      <c r="J97" s="96">
        <v>1003</v>
      </c>
      <c r="K97" s="96"/>
      <c r="L97" s="97"/>
      <c r="M97" s="97"/>
    </row>
    <row r="98" spans="1:13" s="43" customFormat="1" hidden="1" outlineLevel="2">
      <c r="A98" s="98" t="s">
        <v>222</v>
      </c>
      <c r="B98" s="99"/>
      <c r="C98" s="100" t="s">
        <v>152</v>
      </c>
      <c r="D98" s="101" t="s">
        <v>142</v>
      </c>
      <c r="E98" s="102">
        <v>2.0404800000000001</v>
      </c>
      <c r="F98" s="102"/>
      <c r="G98" s="103"/>
      <c r="H98" s="102">
        <v>2722</v>
      </c>
      <c r="I98" s="104"/>
      <c r="J98" s="104">
        <v>326.58999999999997</v>
      </c>
      <c r="K98" s="96"/>
      <c r="L98" s="97"/>
      <c r="M98" s="97"/>
    </row>
    <row r="99" spans="1:13" s="43" customFormat="1" hidden="1" outlineLevel="1">
      <c r="A99" s="105" t="s">
        <v>223</v>
      </c>
      <c r="B99" s="106" t="s">
        <v>157</v>
      </c>
      <c r="C99" s="107" t="s">
        <v>158</v>
      </c>
      <c r="D99" s="106" t="s">
        <v>137</v>
      </c>
      <c r="E99" s="108">
        <v>2.5400000000000002E-3</v>
      </c>
      <c r="F99" s="108"/>
      <c r="G99" s="109">
        <v>1510113</v>
      </c>
      <c r="H99" s="110"/>
      <c r="I99" s="111"/>
      <c r="J99" s="111"/>
      <c r="K99" s="111">
        <v>226</v>
      </c>
      <c r="L99" s="97"/>
      <c r="M99" s="97"/>
    </row>
    <row r="100" spans="1:13" s="43" customFormat="1" ht="21" hidden="1" outlineLevel="1">
      <c r="A100" s="105" t="s">
        <v>224</v>
      </c>
      <c r="B100" s="106" t="s">
        <v>160</v>
      </c>
      <c r="C100" s="107" t="s">
        <v>161</v>
      </c>
      <c r="D100" s="106" t="s">
        <v>162</v>
      </c>
      <c r="E100" s="108">
        <v>3.36</v>
      </c>
      <c r="F100" s="108"/>
      <c r="G100" s="109">
        <v>1215</v>
      </c>
      <c r="H100" s="110"/>
      <c r="I100" s="111"/>
      <c r="J100" s="111"/>
      <c r="K100" s="111">
        <v>240</v>
      </c>
      <c r="L100" s="97"/>
      <c r="M100" s="97"/>
    </row>
    <row r="101" spans="1:13" s="74" customFormat="1" ht="36" collapsed="1">
      <c r="A101" s="65" t="s">
        <v>54</v>
      </c>
      <c r="B101" s="66" t="s">
        <v>225</v>
      </c>
      <c r="C101" s="67" t="s">
        <v>226</v>
      </c>
      <c r="D101" s="68" t="s">
        <v>191</v>
      </c>
      <c r="E101" s="69"/>
      <c r="F101" s="112"/>
      <c r="G101" s="71">
        <v>311</v>
      </c>
      <c r="H101" s="113"/>
      <c r="I101" s="72">
        <f t="shared" ref="I101" si="56">G101*F101</f>
        <v>0</v>
      </c>
      <c r="J101" s="72">
        <f t="shared" ref="J101" si="57">H101*F101</f>
        <v>0</v>
      </c>
      <c r="K101" s="72">
        <f t="shared" ref="K101" si="58">I101-I102-J101</f>
        <v>0</v>
      </c>
      <c r="L101" s="72">
        <f t="shared" ref="L101" si="59">(I102+J102)*E101</f>
        <v>0</v>
      </c>
      <c r="M101" s="73">
        <f t="shared" ref="M101" si="60">I101+L101+L102</f>
        <v>0</v>
      </c>
    </row>
    <row r="102" spans="1:13" s="74" customFormat="1">
      <c r="A102" s="75"/>
      <c r="B102" s="76"/>
      <c r="C102" s="77"/>
      <c r="D102" s="78"/>
      <c r="E102" s="79"/>
      <c r="F102" s="78"/>
      <c r="G102" s="114"/>
      <c r="H102" s="114"/>
      <c r="I102" s="81">
        <f t="shared" ref="I102" si="61">G102*F101</f>
        <v>0</v>
      </c>
      <c r="J102" s="81">
        <f t="shared" ref="J102" si="62">H102*F101</f>
        <v>0</v>
      </c>
      <c r="K102" s="81"/>
      <c r="L102" s="81"/>
      <c r="M102" s="81"/>
    </row>
    <row r="103" spans="1:13" s="74" customFormat="1" ht="48">
      <c r="A103" s="65" t="s">
        <v>56</v>
      </c>
      <c r="B103" s="66" t="s">
        <v>227</v>
      </c>
      <c r="C103" s="241" t="s">
        <v>228</v>
      </c>
      <c r="D103" s="68" t="s">
        <v>191</v>
      </c>
      <c r="E103" s="69"/>
      <c r="F103" s="112">
        <v>507</v>
      </c>
      <c r="G103" s="71">
        <v>5</v>
      </c>
      <c r="H103" s="113"/>
      <c r="I103" s="72">
        <f t="shared" ref="I103:I105" si="63">G103*F103</f>
        <v>2535</v>
      </c>
      <c r="J103" s="72">
        <f t="shared" ref="J103:J105" si="64">H103*F103</f>
        <v>0</v>
      </c>
      <c r="K103" s="72">
        <f t="shared" ref="K103:K105" si="65">I103-I104-J103</f>
        <v>2535</v>
      </c>
      <c r="L103" s="72">
        <f t="shared" ref="L103:L105" si="66">(I104+J104)*E103</f>
        <v>0</v>
      </c>
      <c r="M103" s="73">
        <f t="shared" ref="M103:M105" si="67">I103+L103+L104</f>
        <v>2535</v>
      </c>
    </row>
    <row r="104" spans="1:13" s="74" customFormat="1">
      <c r="A104" s="75"/>
      <c r="B104" s="76"/>
      <c r="C104" s="77"/>
      <c r="D104" s="78"/>
      <c r="E104" s="79"/>
      <c r="F104" s="78"/>
      <c r="G104" s="114"/>
      <c r="H104" s="114"/>
      <c r="I104" s="81">
        <f t="shared" ref="I104:I106" si="68">G104*F103</f>
        <v>0</v>
      </c>
      <c r="J104" s="81">
        <f t="shared" ref="J104:J106" si="69">H104*F103</f>
        <v>0</v>
      </c>
      <c r="K104" s="81"/>
      <c r="L104" s="81"/>
      <c r="M104" s="81"/>
    </row>
    <row r="105" spans="1:13" s="74" customFormat="1" ht="24">
      <c r="A105" s="65" t="s">
        <v>58</v>
      </c>
      <c r="B105" s="66" t="s">
        <v>229</v>
      </c>
      <c r="C105" s="67" t="s">
        <v>230</v>
      </c>
      <c r="D105" s="68" t="s">
        <v>137</v>
      </c>
      <c r="E105" s="69"/>
      <c r="F105" s="323">
        <v>1.5737066666666667E-2</v>
      </c>
      <c r="G105" s="71">
        <v>351330</v>
      </c>
      <c r="H105" s="71">
        <v>61550</v>
      </c>
      <c r="I105" s="72">
        <f t="shared" si="63"/>
        <v>5528.9036320000005</v>
      </c>
      <c r="J105" s="72">
        <f t="shared" si="64"/>
        <v>968.61645333333342</v>
      </c>
      <c r="K105" s="72">
        <f t="shared" si="65"/>
        <v>187.80615360000013</v>
      </c>
      <c r="L105" s="72">
        <f t="shared" si="66"/>
        <v>0</v>
      </c>
      <c r="M105" s="73">
        <f t="shared" si="67"/>
        <v>5528.9036320000005</v>
      </c>
    </row>
    <row r="106" spans="1:13" s="74" customFormat="1">
      <c r="A106" s="75"/>
      <c r="B106" s="76"/>
      <c r="C106" s="77"/>
      <c r="D106" s="78"/>
      <c r="E106" s="79"/>
      <c r="F106" s="78"/>
      <c r="G106" s="80">
        <v>277846</v>
      </c>
      <c r="H106" s="80">
        <v>17637</v>
      </c>
      <c r="I106" s="81">
        <f t="shared" si="68"/>
        <v>4372.4810250666669</v>
      </c>
      <c r="J106" s="81">
        <f t="shared" si="69"/>
        <v>277.55464480000001</v>
      </c>
      <c r="K106" s="81"/>
      <c r="L106" s="81"/>
      <c r="M106" s="81"/>
    </row>
    <row r="107" spans="1:13" s="43" customFormat="1" ht="21" hidden="1" outlineLevel="1">
      <c r="A107" s="82" t="s">
        <v>231</v>
      </c>
      <c r="B107" s="83" t="s">
        <v>181</v>
      </c>
      <c r="C107" s="84" t="s">
        <v>182</v>
      </c>
      <c r="D107" s="83" t="s">
        <v>142</v>
      </c>
      <c r="E107" s="85">
        <v>49.704000000000001</v>
      </c>
      <c r="F107" s="85"/>
      <c r="G107" s="86">
        <v>5590</v>
      </c>
      <c r="H107" s="87"/>
      <c r="I107" s="88">
        <v>13117</v>
      </c>
      <c r="J107" s="88"/>
      <c r="K107" s="88"/>
      <c r="L107" s="89"/>
      <c r="M107" s="89"/>
    </row>
    <row r="108" spans="1:13" s="43" customFormat="1" hidden="1" outlineLevel="1">
      <c r="A108" s="82" t="s">
        <v>232</v>
      </c>
      <c r="B108" s="83" t="s">
        <v>34</v>
      </c>
      <c r="C108" s="84" t="s">
        <v>144</v>
      </c>
      <c r="D108" s="83" t="s">
        <v>142</v>
      </c>
      <c r="E108" s="85">
        <v>5.3360000000000003</v>
      </c>
      <c r="F108" s="85"/>
      <c r="G108" s="89"/>
      <c r="H108" s="87"/>
      <c r="I108" s="88"/>
      <c r="J108" s="88"/>
      <c r="K108" s="88"/>
      <c r="L108" s="89"/>
      <c r="M108" s="89"/>
    </row>
    <row r="109" spans="1:13" s="43" customFormat="1" hidden="1" outlineLevel="1">
      <c r="A109" s="90" t="s">
        <v>233</v>
      </c>
      <c r="B109" s="91" t="s">
        <v>146</v>
      </c>
      <c r="C109" s="92" t="s">
        <v>147</v>
      </c>
      <c r="D109" s="91" t="s">
        <v>148</v>
      </c>
      <c r="E109" s="93">
        <v>20.0124</v>
      </c>
      <c r="F109" s="93"/>
      <c r="G109" s="94"/>
      <c r="H109" s="95">
        <v>230</v>
      </c>
      <c r="I109" s="96"/>
      <c r="J109" s="96">
        <v>217</v>
      </c>
      <c r="K109" s="96"/>
      <c r="L109" s="97"/>
      <c r="M109" s="97"/>
    </row>
    <row r="110" spans="1:13" s="43" customFormat="1" ht="21" hidden="1" outlineLevel="1">
      <c r="A110" s="90" t="s">
        <v>234</v>
      </c>
      <c r="B110" s="91" t="s">
        <v>150</v>
      </c>
      <c r="C110" s="92" t="s">
        <v>151</v>
      </c>
      <c r="D110" s="91" t="s">
        <v>148</v>
      </c>
      <c r="E110" s="93">
        <v>2.66832</v>
      </c>
      <c r="F110" s="93"/>
      <c r="G110" s="94"/>
      <c r="H110" s="95">
        <v>12979</v>
      </c>
      <c r="I110" s="96"/>
      <c r="J110" s="96">
        <v>1635</v>
      </c>
      <c r="K110" s="96"/>
      <c r="L110" s="97"/>
      <c r="M110" s="97"/>
    </row>
    <row r="111" spans="1:13" s="43" customFormat="1" hidden="1" outlineLevel="2">
      <c r="A111" s="98" t="s">
        <v>234</v>
      </c>
      <c r="B111" s="99"/>
      <c r="C111" s="100" t="s">
        <v>152</v>
      </c>
      <c r="D111" s="101" t="s">
        <v>142</v>
      </c>
      <c r="E111" s="102">
        <v>2.66832</v>
      </c>
      <c r="F111" s="102"/>
      <c r="G111" s="103"/>
      <c r="H111" s="102">
        <v>3888</v>
      </c>
      <c r="I111" s="104"/>
      <c r="J111" s="104">
        <v>489.79</v>
      </c>
      <c r="K111" s="96"/>
      <c r="L111" s="97"/>
      <c r="M111" s="97"/>
    </row>
    <row r="112" spans="1:13" s="43" customFormat="1" hidden="1" outlineLevel="1">
      <c r="A112" s="90" t="s">
        <v>235</v>
      </c>
      <c r="B112" s="91" t="s">
        <v>154</v>
      </c>
      <c r="C112" s="92" t="s">
        <v>155</v>
      </c>
      <c r="D112" s="91" t="s">
        <v>148</v>
      </c>
      <c r="E112" s="93">
        <v>2.66832</v>
      </c>
      <c r="F112" s="93"/>
      <c r="G112" s="94"/>
      <c r="H112" s="95">
        <v>8363</v>
      </c>
      <c r="I112" s="96"/>
      <c r="J112" s="96">
        <v>1054</v>
      </c>
      <c r="K112" s="96"/>
      <c r="L112" s="97"/>
      <c r="M112" s="97"/>
    </row>
    <row r="113" spans="1:13" s="43" customFormat="1" hidden="1" outlineLevel="2">
      <c r="A113" s="98" t="s">
        <v>235</v>
      </c>
      <c r="B113" s="99"/>
      <c r="C113" s="100" t="s">
        <v>152</v>
      </c>
      <c r="D113" s="101" t="s">
        <v>142</v>
      </c>
      <c r="E113" s="102">
        <v>2.66832</v>
      </c>
      <c r="F113" s="102"/>
      <c r="G113" s="103"/>
      <c r="H113" s="102">
        <v>2722</v>
      </c>
      <c r="I113" s="104"/>
      <c r="J113" s="104">
        <v>342.9</v>
      </c>
      <c r="K113" s="96"/>
      <c r="L113" s="97"/>
      <c r="M113" s="97"/>
    </row>
    <row r="114" spans="1:13" s="43" customFormat="1" hidden="1" outlineLevel="1">
      <c r="A114" s="105" t="s">
        <v>236</v>
      </c>
      <c r="B114" s="106" t="s">
        <v>237</v>
      </c>
      <c r="C114" s="107" t="s">
        <v>238</v>
      </c>
      <c r="D114" s="106" t="s">
        <v>137</v>
      </c>
      <c r="E114" s="108">
        <v>9.0000000000000006E-5</v>
      </c>
      <c r="F114" s="108"/>
      <c r="G114" s="109">
        <v>24399</v>
      </c>
      <c r="H114" s="110"/>
      <c r="I114" s="111"/>
      <c r="J114" s="111"/>
      <c r="K114" s="111">
        <v>0.1</v>
      </c>
      <c r="L114" s="97"/>
      <c r="M114" s="97"/>
    </row>
    <row r="115" spans="1:13" s="43" customFormat="1" hidden="1" outlineLevel="1">
      <c r="A115" s="105" t="s">
        <v>239</v>
      </c>
      <c r="B115" s="106" t="s">
        <v>187</v>
      </c>
      <c r="C115" s="107" t="s">
        <v>188</v>
      </c>
      <c r="D115" s="106" t="s">
        <v>162</v>
      </c>
      <c r="E115" s="108">
        <v>7.8</v>
      </c>
      <c r="F115" s="108"/>
      <c r="G115" s="109">
        <v>1293</v>
      </c>
      <c r="H115" s="110"/>
      <c r="I115" s="111"/>
      <c r="J115" s="111"/>
      <c r="K115" s="111">
        <v>476</v>
      </c>
      <c r="L115" s="97"/>
      <c r="M115" s="97"/>
    </row>
    <row r="116" spans="1:13" s="43" customFormat="1" ht="21" hidden="1" outlineLevel="1">
      <c r="A116" s="105" t="s">
        <v>240</v>
      </c>
      <c r="B116" s="106" t="s">
        <v>160</v>
      </c>
      <c r="C116" s="107" t="s">
        <v>161</v>
      </c>
      <c r="D116" s="106" t="s">
        <v>162</v>
      </c>
      <c r="E116" s="108">
        <v>1.52</v>
      </c>
      <c r="F116" s="108"/>
      <c r="G116" s="109">
        <v>1215</v>
      </c>
      <c r="H116" s="110"/>
      <c r="I116" s="111"/>
      <c r="J116" s="111"/>
      <c r="K116" s="111">
        <v>87</v>
      </c>
      <c r="L116" s="97"/>
      <c r="M116" s="97"/>
    </row>
    <row r="117" spans="1:13" s="74" customFormat="1" ht="48" collapsed="1">
      <c r="A117" s="65" t="s">
        <v>60</v>
      </c>
      <c r="B117" s="66" t="s">
        <v>241</v>
      </c>
      <c r="C117" s="67" t="s">
        <v>242</v>
      </c>
      <c r="D117" s="68" t="s">
        <v>243</v>
      </c>
      <c r="E117" s="69"/>
      <c r="F117" s="112">
        <v>5</v>
      </c>
      <c r="G117" s="71">
        <v>10002</v>
      </c>
      <c r="H117" s="71">
        <v>3058</v>
      </c>
      <c r="I117" s="72">
        <f t="shared" ref="I117" si="70">G117*F117</f>
        <v>50010</v>
      </c>
      <c r="J117" s="72">
        <f t="shared" ref="J117" si="71">H117*F117</f>
        <v>15290</v>
      </c>
      <c r="K117" s="72">
        <f t="shared" ref="K117" si="72">I117-I118-J117</f>
        <v>0</v>
      </c>
      <c r="L117" s="72">
        <f t="shared" ref="L117" si="73">(I118+J118)*E117</f>
        <v>0</v>
      </c>
      <c r="M117" s="73">
        <f t="shared" ref="M117" si="74">I117+L117+L118</f>
        <v>50010</v>
      </c>
    </row>
    <row r="118" spans="1:13" s="74" customFormat="1">
      <c r="A118" s="75"/>
      <c r="B118" s="76"/>
      <c r="C118" s="77"/>
      <c r="D118" s="78"/>
      <c r="E118" s="79"/>
      <c r="F118" s="78"/>
      <c r="G118" s="80">
        <v>6944</v>
      </c>
      <c r="H118" s="80">
        <v>964</v>
      </c>
      <c r="I118" s="81">
        <f t="shared" ref="I118" si="75">G118*F117</f>
        <v>34720</v>
      </c>
      <c r="J118" s="81">
        <f t="shared" ref="J118" si="76">H118*F117</f>
        <v>4820</v>
      </c>
      <c r="K118" s="81"/>
      <c r="L118" s="81"/>
      <c r="M118" s="81"/>
    </row>
    <row r="119" spans="1:13" s="43" customFormat="1" ht="31.5" hidden="1" outlineLevel="1">
      <c r="A119" s="82" t="s">
        <v>244</v>
      </c>
      <c r="B119" s="83" t="s">
        <v>245</v>
      </c>
      <c r="C119" s="84" t="s">
        <v>246</v>
      </c>
      <c r="D119" s="83" t="s">
        <v>142</v>
      </c>
      <c r="E119" s="85">
        <v>1.2819</v>
      </c>
      <c r="F119" s="85"/>
      <c r="G119" s="86">
        <v>5417</v>
      </c>
      <c r="H119" s="87"/>
      <c r="I119" s="88">
        <v>111105</v>
      </c>
      <c r="J119" s="88"/>
      <c r="K119" s="88"/>
      <c r="L119" s="89"/>
      <c r="M119" s="89"/>
    </row>
    <row r="120" spans="1:13" s="43" customFormat="1" hidden="1" outlineLevel="1">
      <c r="A120" s="82" t="s">
        <v>247</v>
      </c>
      <c r="B120" s="83" t="s">
        <v>34</v>
      </c>
      <c r="C120" s="84" t="s">
        <v>144</v>
      </c>
      <c r="D120" s="83" t="s">
        <v>142</v>
      </c>
      <c r="E120" s="85">
        <v>0.35399999999999998</v>
      </c>
      <c r="F120" s="85"/>
      <c r="G120" s="89"/>
      <c r="H120" s="87"/>
      <c r="I120" s="88"/>
      <c r="J120" s="88"/>
      <c r="K120" s="88"/>
      <c r="L120" s="89"/>
      <c r="M120" s="89"/>
    </row>
    <row r="121" spans="1:13" s="43" customFormat="1" ht="21.75" hidden="1" outlineLevel="1">
      <c r="A121" s="90" t="s">
        <v>248</v>
      </c>
      <c r="B121" s="91" t="s">
        <v>249</v>
      </c>
      <c r="C121" s="92" t="s">
        <v>250</v>
      </c>
      <c r="D121" s="91" t="s">
        <v>148</v>
      </c>
      <c r="E121" s="93">
        <v>0.35427799999999998</v>
      </c>
      <c r="F121" s="93"/>
      <c r="G121" s="94"/>
      <c r="H121" s="95">
        <v>8456</v>
      </c>
      <c r="I121" s="96"/>
      <c r="J121" s="96">
        <v>47932</v>
      </c>
      <c r="K121" s="96"/>
      <c r="L121" s="97"/>
      <c r="M121" s="97"/>
    </row>
    <row r="122" spans="1:13" s="43" customFormat="1" hidden="1" outlineLevel="2">
      <c r="A122" s="98" t="s">
        <v>248</v>
      </c>
      <c r="B122" s="99"/>
      <c r="C122" s="100" t="s">
        <v>152</v>
      </c>
      <c r="D122" s="101" t="s">
        <v>142</v>
      </c>
      <c r="E122" s="102">
        <v>0.35427799999999998</v>
      </c>
      <c r="F122" s="102"/>
      <c r="G122" s="103"/>
      <c r="H122" s="102">
        <v>2722</v>
      </c>
      <c r="I122" s="104"/>
      <c r="J122" s="104">
        <v>15429.53</v>
      </c>
      <c r="K122" s="96"/>
      <c r="L122" s="97"/>
      <c r="M122" s="97"/>
    </row>
    <row r="123" spans="1:13" s="43" customFormat="1" ht="21" hidden="1" outlineLevel="1">
      <c r="A123" s="90" t="s">
        <v>251</v>
      </c>
      <c r="B123" s="91" t="s">
        <v>252</v>
      </c>
      <c r="C123" s="92" t="s">
        <v>253</v>
      </c>
      <c r="D123" s="91" t="s">
        <v>148</v>
      </c>
      <c r="E123" s="93">
        <v>0.708422</v>
      </c>
      <c r="F123" s="93"/>
      <c r="G123" s="94"/>
      <c r="H123" s="95">
        <v>87</v>
      </c>
      <c r="I123" s="96"/>
      <c r="J123" s="96">
        <v>986</v>
      </c>
      <c r="K123" s="96"/>
      <c r="L123" s="97"/>
      <c r="M123" s="97"/>
    </row>
    <row r="124" spans="1:13" s="74" customFormat="1" ht="36" collapsed="1">
      <c r="A124" s="65" t="s">
        <v>62</v>
      </c>
      <c r="B124" s="66" t="s">
        <v>254</v>
      </c>
      <c r="C124" s="67" t="s">
        <v>255</v>
      </c>
      <c r="D124" s="68" t="s">
        <v>137</v>
      </c>
      <c r="E124" s="69"/>
      <c r="F124" s="70">
        <v>0.26</v>
      </c>
      <c r="G124" s="71">
        <v>292148</v>
      </c>
      <c r="H124" s="71">
        <v>4253</v>
      </c>
      <c r="I124" s="72">
        <f t="shared" ref="I124" si="77">G124*F124</f>
        <v>75958.48</v>
      </c>
      <c r="J124" s="72">
        <f t="shared" ref="J124" si="78">H124*F124</f>
        <v>1105.78</v>
      </c>
      <c r="K124" s="72">
        <f t="shared" ref="K124" si="79">I124-I125-J124</f>
        <v>364.25999999999362</v>
      </c>
      <c r="L124" s="72">
        <f t="shared" ref="L124" si="80">(I125+J125)*E124</f>
        <v>0</v>
      </c>
      <c r="M124" s="73">
        <f t="shared" ref="M124" si="81">I124+L124+L125</f>
        <v>75958.48</v>
      </c>
    </row>
    <row r="125" spans="1:13" s="74" customFormat="1">
      <c r="A125" s="75"/>
      <c r="B125" s="76"/>
      <c r="C125" s="77"/>
      <c r="D125" s="78"/>
      <c r="E125" s="79"/>
      <c r="F125" s="78"/>
      <c r="G125" s="80">
        <v>286494</v>
      </c>
      <c r="H125" s="80">
        <v>1488</v>
      </c>
      <c r="I125" s="81">
        <f t="shared" ref="I125" si="82">G125*F124</f>
        <v>74488.44</v>
      </c>
      <c r="J125" s="81">
        <f t="shared" ref="J125" si="83">H125*F124</f>
        <v>386.88</v>
      </c>
      <c r="K125" s="81"/>
      <c r="L125" s="81"/>
      <c r="M125" s="81"/>
    </row>
    <row r="126" spans="1:13" s="43" customFormat="1" ht="21" hidden="1" outlineLevel="1">
      <c r="A126" s="82" t="s">
        <v>256</v>
      </c>
      <c r="B126" s="83" t="s">
        <v>257</v>
      </c>
      <c r="C126" s="84" t="s">
        <v>258</v>
      </c>
      <c r="D126" s="83" t="s">
        <v>142</v>
      </c>
      <c r="E126" s="85">
        <v>57.552</v>
      </c>
      <c r="F126" s="85"/>
      <c r="G126" s="86">
        <v>4978</v>
      </c>
      <c r="H126" s="87"/>
      <c r="I126" s="88">
        <v>18079</v>
      </c>
      <c r="J126" s="88"/>
      <c r="K126" s="88"/>
      <c r="L126" s="89"/>
      <c r="M126" s="89"/>
    </row>
    <row r="127" spans="1:13" s="43" customFormat="1" hidden="1" outlineLevel="1">
      <c r="A127" s="82" t="s">
        <v>259</v>
      </c>
      <c r="B127" s="83" t="s">
        <v>34</v>
      </c>
      <c r="C127" s="84" t="s">
        <v>144</v>
      </c>
      <c r="D127" s="83" t="s">
        <v>142</v>
      </c>
      <c r="E127" s="85">
        <v>0.628</v>
      </c>
      <c r="F127" s="85"/>
      <c r="G127" s="89"/>
      <c r="H127" s="87"/>
      <c r="I127" s="88"/>
      <c r="J127" s="88"/>
      <c r="K127" s="88"/>
      <c r="L127" s="89"/>
      <c r="M127" s="89"/>
    </row>
    <row r="128" spans="1:13" s="43" customFormat="1" hidden="1" outlineLevel="1">
      <c r="A128" s="90" t="s">
        <v>260</v>
      </c>
      <c r="B128" s="91" t="s">
        <v>261</v>
      </c>
      <c r="C128" s="92" t="s">
        <v>262</v>
      </c>
      <c r="D128" s="91" t="s">
        <v>148</v>
      </c>
      <c r="E128" s="93">
        <v>0.49703999999999998</v>
      </c>
      <c r="F128" s="93"/>
      <c r="G128" s="94"/>
      <c r="H128" s="95">
        <v>6096</v>
      </c>
      <c r="I128" s="96"/>
      <c r="J128" s="96">
        <v>191</v>
      </c>
      <c r="K128" s="96"/>
      <c r="L128" s="97"/>
      <c r="M128" s="97"/>
    </row>
    <row r="129" spans="1:13" s="43" customFormat="1" hidden="1" outlineLevel="2">
      <c r="A129" s="98" t="s">
        <v>260</v>
      </c>
      <c r="B129" s="99"/>
      <c r="C129" s="100" t="s">
        <v>152</v>
      </c>
      <c r="D129" s="101" t="s">
        <v>142</v>
      </c>
      <c r="E129" s="102">
        <v>0.49703999999999998</v>
      </c>
      <c r="F129" s="102"/>
      <c r="G129" s="103"/>
      <c r="H129" s="102">
        <v>2278</v>
      </c>
      <c r="I129" s="104"/>
      <c r="J129" s="104">
        <v>71.45</v>
      </c>
      <c r="K129" s="96"/>
      <c r="L129" s="97"/>
      <c r="M129" s="97"/>
    </row>
    <row r="130" spans="1:13" s="43" customFormat="1" hidden="1" outlineLevel="1">
      <c r="A130" s="90" t="s">
        <v>263</v>
      </c>
      <c r="B130" s="91" t="s">
        <v>146</v>
      </c>
      <c r="C130" s="92" t="s">
        <v>147</v>
      </c>
      <c r="D130" s="91" t="s">
        <v>148</v>
      </c>
      <c r="E130" s="93">
        <v>0.56244000000000005</v>
      </c>
      <c r="F130" s="93"/>
      <c r="G130" s="94"/>
      <c r="H130" s="95">
        <v>230</v>
      </c>
      <c r="I130" s="96"/>
      <c r="J130" s="96">
        <v>8</v>
      </c>
      <c r="K130" s="96"/>
      <c r="L130" s="97"/>
      <c r="M130" s="97"/>
    </row>
    <row r="131" spans="1:13" s="43" customFormat="1" hidden="1" outlineLevel="1">
      <c r="A131" s="90" t="s">
        <v>264</v>
      </c>
      <c r="B131" s="91" t="s">
        <v>154</v>
      </c>
      <c r="C131" s="92" t="s">
        <v>155</v>
      </c>
      <c r="D131" s="91" t="s">
        <v>148</v>
      </c>
      <c r="E131" s="93">
        <v>0.1308</v>
      </c>
      <c r="F131" s="93"/>
      <c r="G131" s="94"/>
      <c r="H131" s="95">
        <v>8363</v>
      </c>
      <c r="I131" s="96"/>
      <c r="J131" s="96">
        <v>69</v>
      </c>
      <c r="K131" s="96"/>
      <c r="L131" s="97"/>
      <c r="M131" s="97"/>
    </row>
    <row r="132" spans="1:13" s="43" customFormat="1" hidden="1" outlineLevel="2">
      <c r="A132" s="98" t="s">
        <v>264</v>
      </c>
      <c r="B132" s="99"/>
      <c r="C132" s="100" t="s">
        <v>152</v>
      </c>
      <c r="D132" s="101" t="s">
        <v>142</v>
      </c>
      <c r="E132" s="102">
        <v>0.1308</v>
      </c>
      <c r="F132" s="102"/>
      <c r="G132" s="103"/>
      <c r="H132" s="102">
        <v>2722</v>
      </c>
      <c r="I132" s="104"/>
      <c r="J132" s="104">
        <v>22.47</v>
      </c>
      <c r="K132" s="96"/>
      <c r="L132" s="97"/>
      <c r="M132" s="97"/>
    </row>
    <row r="133" spans="1:13" s="43" customFormat="1" hidden="1" outlineLevel="1">
      <c r="A133" s="105" t="s">
        <v>265</v>
      </c>
      <c r="B133" s="106" t="s">
        <v>266</v>
      </c>
      <c r="C133" s="107" t="s">
        <v>267</v>
      </c>
      <c r="D133" s="106" t="s">
        <v>137</v>
      </c>
      <c r="E133" s="108">
        <v>5.1000000000000004E-3</v>
      </c>
      <c r="F133" s="108"/>
      <c r="G133" s="109">
        <v>274757</v>
      </c>
      <c r="H133" s="110"/>
      <c r="I133" s="111"/>
      <c r="J133" s="111"/>
      <c r="K133" s="111">
        <v>88</v>
      </c>
      <c r="L133" s="97"/>
      <c r="M133" s="97"/>
    </row>
    <row r="134" spans="1:13" s="74" customFormat="1" ht="48" collapsed="1">
      <c r="A134" s="65" t="s">
        <v>64</v>
      </c>
      <c r="B134" s="66" t="s">
        <v>268</v>
      </c>
      <c r="C134" s="67" t="s">
        <v>269</v>
      </c>
      <c r="D134" s="68" t="s">
        <v>137</v>
      </c>
      <c r="E134" s="69"/>
      <c r="F134" s="70">
        <v>0.26</v>
      </c>
      <c r="G134" s="71">
        <v>462591</v>
      </c>
      <c r="H134" s="113"/>
      <c r="I134" s="72">
        <f t="shared" ref="I134:I136" si="84">G134*F134</f>
        <v>120273.66</v>
      </c>
      <c r="J134" s="72">
        <f t="shared" ref="J134:J136" si="85">H134*F134</f>
        <v>0</v>
      </c>
      <c r="K134" s="72">
        <f t="shared" ref="K134:K136" si="86">I134-I135-J134</f>
        <v>120273.66</v>
      </c>
      <c r="L134" s="72">
        <f t="shared" ref="L134:L136" si="87">(I135+J135)*E134</f>
        <v>0</v>
      </c>
      <c r="M134" s="73">
        <f t="shared" ref="M134:M136" si="88">I134+L134+L135</f>
        <v>120273.66</v>
      </c>
    </row>
    <row r="135" spans="1:13" s="74" customFormat="1">
      <c r="A135" s="75"/>
      <c r="B135" s="76"/>
      <c r="C135" s="77"/>
      <c r="D135" s="78"/>
      <c r="E135" s="79"/>
      <c r="F135" s="78"/>
      <c r="G135" s="114"/>
      <c r="H135" s="114"/>
      <c r="I135" s="81">
        <f t="shared" ref="I135:I137" si="89">G135*F134</f>
        <v>0</v>
      </c>
      <c r="J135" s="81">
        <f t="shared" ref="J135:J137" si="90">H135*F134</f>
        <v>0</v>
      </c>
      <c r="K135" s="81"/>
      <c r="L135" s="81"/>
      <c r="M135" s="81"/>
    </row>
    <row r="136" spans="1:13" s="74" customFormat="1" ht="48">
      <c r="A136" s="65" t="s">
        <v>66</v>
      </c>
      <c r="B136" s="66" t="s">
        <v>270</v>
      </c>
      <c r="C136" s="67" t="s">
        <v>271</v>
      </c>
      <c r="D136" s="68" t="s">
        <v>137</v>
      </c>
      <c r="E136" s="69"/>
      <c r="F136" s="70"/>
      <c r="G136" s="71">
        <v>335553</v>
      </c>
      <c r="H136" s="113"/>
      <c r="I136" s="72">
        <f t="shared" si="84"/>
        <v>0</v>
      </c>
      <c r="J136" s="72">
        <f t="shared" si="85"/>
        <v>0</v>
      </c>
      <c r="K136" s="72">
        <f t="shared" si="86"/>
        <v>0</v>
      </c>
      <c r="L136" s="72">
        <f t="shared" si="87"/>
        <v>0</v>
      </c>
      <c r="M136" s="73">
        <f t="shared" si="88"/>
        <v>0</v>
      </c>
    </row>
    <row r="137" spans="1:13" s="74" customFormat="1">
      <c r="A137" s="75"/>
      <c r="B137" s="76"/>
      <c r="C137" s="77"/>
      <c r="D137" s="78"/>
      <c r="E137" s="79"/>
      <c r="F137" s="78"/>
      <c r="G137" s="114"/>
      <c r="H137" s="114"/>
      <c r="I137" s="81">
        <f t="shared" si="89"/>
        <v>0</v>
      </c>
      <c r="J137" s="81">
        <f t="shared" si="90"/>
        <v>0</v>
      </c>
      <c r="K137" s="81"/>
      <c r="L137" s="81"/>
      <c r="M137" s="81"/>
    </row>
    <row r="138" spans="1:13" s="74" customFormat="1" ht="36">
      <c r="A138" s="65" t="s">
        <v>68</v>
      </c>
      <c r="B138" s="66" t="s">
        <v>272</v>
      </c>
      <c r="C138" s="67" t="s">
        <v>273</v>
      </c>
      <c r="D138" s="68" t="s">
        <v>274</v>
      </c>
      <c r="E138" s="69"/>
      <c r="F138" s="112"/>
      <c r="G138" s="71">
        <v>2145</v>
      </c>
      <c r="H138" s="71">
        <v>561</v>
      </c>
      <c r="I138" s="72">
        <f t="shared" ref="I138" si="91">G138*F138</f>
        <v>0</v>
      </c>
      <c r="J138" s="72">
        <f t="shared" ref="J138" si="92">H138*F138</f>
        <v>0</v>
      </c>
      <c r="K138" s="72">
        <f t="shared" ref="K138" si="93">I138-I139-J138</f>
        <v>0</v>
      </c>
      <c r="L138" s="72">
        <f t="shared" ref="L138" si="94">(I139+J139)*E138</f>
        <v>0</v>
      </c>
      <c r="M138" s="73">
        <f t="shared" ref="M138" si="95">I138+L138+L139</f>
        <v>0</v>
      </c>
    </row>
    <row r="139" spans="1:13" s="74" customFormat="1">
      <c r="A139" s="75"/>
      <c r="B139" s="76"/>
      <c r="C139" s="77"/>
      <c r="D139" s="78"/>
      <c r="E139" s="79"/>
      <c r="F139" s="78"/>
      <c r="G139" s="80">
        <v>1558</v>
      </c>
      <c r="H139" s="80">
        <v>174</v>
      </c>
      <c r="I139" s="81">
        <f t="shared" ref="I139" si="96">G139*F138</f>
        <v>0</v>
      </c>
      <c r="J139" s="81">
        <f t="shared" ref="J139" si="97">H139*F138</f>
        <v>0</v>
      </c>
      <c r="K139" s="81"/>
      <c r="L139" s="81"/>
      <c r="M139" s="81"/>
    </row>
    <row r="140" spans="1:13" s="43" customFormat="1" ht="21" hidden="1" outlineLevel="1">
      <c r="A140" s="82" t="s">
        <v>275</v>
      </c>
      <c r="B140" s="83" t="s">
        <v>140</v>
      </c>
      <c r="C140" s="84" t="s">
        <v>141</v>
      </c>
      <c r="D140" s="83" t="s">
        <v>142</v>
      </c>
      <c r="E140" s="85">
        <v>0.2878</v>
      </c>
      <c r="F140" s="85"/>
      <c r="G140" s="86">
        <v>5412</v>
      </c>
      <c r="H140" s="87"/>
      <c r="I140" s="88">
        <v>24921</v>
      </c>
      <c r="J140" s="88"/>
      <c r="K140" s="88"/>
      <c r="L140" s="89"/>
      <c r="M140" s="89"/>
    </row>
    <row r="141" spans="1:13" s="43" customFormat="1" hidden="1" outlineLevel="1">
      <c r="A141" s="82" t="s">
        <v>276</v>
      </c>
      <c r="B141" s="83" t="s">
        <v>34</v>
      </c>
      <c r="C141" s="84" t="s">
        <v>144</v>
      </c>
      <c r="D141" s="83" t="s">
        <v>142</v>
      </c>
      <c r="E141" s="85">
        <v>5.1999999999999998E-2</v>
      </c>
      <c r="F141" s="85"/>
      <c r="G141" s="89"/>
      <c r="H141" s="87"/>
      <c r="I141" s="88"/>
      <c r="J141" s="88"/>
      <c r="K141" s="88"/>
      <c r="L141" s="89"/>
      <c r="M141" s="89"/>
    </row>
    <row r="142" spans="1:13" s="43" customFormat="1" ht="21" hidden="1" outlineLevel="1">
      <c r="A142" s="90" t="s">
        <v>277</v>
      </c>
      <c r="B142" s="91" t="s">
        <v>150</v>
      </c>
      <c r="C142" s="92" t="s">
        <v>151</v>
      </c>
      <c r="D142" s="91" t="s">
        <v>148</v>
      </c>
      <c r="E142" s="93">
        <v>2.6290999999999998E-2</v>
      </c>
      <c r="F142" s="93"/>
      <c r="G142" s="94"/>
      <c r="H142" s="95">
        <v>12979</v>
      </c>
      <c r="I142" s="96"/>
      <c r="J142" s="96">
        <v>5460</v>
      </c>
      <c r="K142" s="96"/>
      <c r="L142" s="97"/>
      <c r="M142" s="97"/>
    </row>
    <row r="143" spans="1:13" s="43" customFormat="1" hidden="1" outlineLevel="2">
      <c r="A143" s="98" t="s">
        <v>277</v>
      </c>
      <c r="B143" s="99"/>
      <c r="C143" s="100" t="s">
        <v>152</v>
      </c>
      <c r="D143" s="101" t="s">
        <v>142</v>
      </c>
      <c r="E143" s="102">
        <v>2.6290999999999998E-2</v>
      </c>
      <c r="F143" s="102"/>
      <c r="G143" s="103"/>
      <c r="H143" s="102">
        <v>3888</v>
      </c>
      <c r="I143" s="104"/>
      <c r="J143" s="104">
        <v>1635.5</v>
      </c>
      <c r="K143" s="96"/>
      <c r="L143" s="97"/>
      <c r="M143" s="97"/>
    </row>
    <row r="144" spans="1:13" s="43" customFormat="1" hidden="1" outlineLevel="1">
      <c r="A144" s="90" t="s">
        <v>278</v>
      </c>
      <c r="B144" s="91" t="s">
        <v>154</v>
      </c>
      <c r="C144" s="92" t="s">
        <v>155</v>
      </c>
      <c r="D144" s="91" t="s">
        <v>148</v>
      </c>
      <c r="E144" s="93">
        <v>2.6290999999999998E-2</v>
      </c>
      <c r="F144" s="93"/>
      <c r="G144" s="94"/>
      <c r="H144" s="95">
        <v>8363</v>
      </c>
      <c r="I144" s="96"/>
      <c r="J144" s="96">
        <v>3518</v>
      </c>
      <c r="K144" s="96"/>
      <c r="L144" s="97"/>
      <c r="M144" s="97"/>
    </row>
    <row r="145" spans="1:13" s="43" customFormat="1" hidden="1" outlineLevel="2">
      <c r="A145" s="98" t="s">
        <v>278</v>
      </c>
      <c r="B145" s="99"/>
      <c r="C145" s="100" t="s">
        <v>152</v>
      </c>
      <c r="D145" s="101" t="s">
        <v>142</v>
      </c>
      <c r="E145" s="102">
        <v>2.6290999999999998E-2</v>
      </c>
      <c r="F145" s="102"/>
      <c r="G145" s="103"/>
      <c r="H145" s="102">
        <v>2722</v>
      </c>
      <c r="I145" s="104"/>
      <c r="J145" s="104">
        <v>1145.02</v>
      </c>
      <c r="K145" s="96"/>
      <c r="L145" s="97"/>
      <c r="M145" s="97"/>
    </row>
    <row r="146" spans="1:13" s="43" customFormat="1" hidden="1" outlineLevel="1">
      <c r="A146" s="105" t="s">
        <v>279</v>
      </c>
      <c r="B146" s="106" t="s">
        <v>280</v>
      </c>
      <c r="C146" s="107" t="s">
        <v>281</v>
      </c>
      <c r="D146" s="106" t="s">
        <v>162</v>
      </c>
      <c r="E146" s="108">
        <v>0.19800000000000001</v>
      </c>
      <c r="F146" s="108"/>
      <c r="G146" s="109">
        <v>129</v>
      </c>
      <c r="H146" s="110"/>
      <c r="I146" s="111"/>
      <c r="J146" s="111"/>
      <c r="K146" s="111">
        <v>409</v>
      </c>
      <c r="L146" s="97"/>
      <c r="M146" s="97"/>
    </row>
    <row r="147" spans="1:13" s="74" customFormat="1" ht="36" collapsed="1">
      <c r="A147" s="65" t="s">
        <v>70</v>
      </c>
      <c r="B147" s="66" t="s">
        <v>282</v>
      </c>
      <c r="C147" s="67" t="s">
        <v>283</v>
      </c>
      <c r="D147" s="68" t="s">
        <v>179</v>
      </c>
      <c r="E147" s="69"/>
      <c r="F147" s="112"/>
      <c r="G147" s="115">
        <v>43467.48</v>
      </c>
      <c r="H147" s="113"/>
      <c r="I147" s="72">
        <f t="shared" ref="I147" si="98">G147*F147</f>
        <v>0</v>
      </c>
      <c r="J147" s="72">
        <f t="shared" ref="J147" si="99">H147*F147</f>
        <v>0</v>
      </c>
      <c r="K147" s="72">
        <f t="shared" ref="K147" si="100">I147-I148-J147</f>
        <v>0</v>
      </c>
      <c r="L147" s="72">
        <f t="shared" ref="L147" si="101">(I148+J148)*E147</f>
        <v>0</v>
      </c>
      <c r="M147" s="73">
        <f t="shared" ref="M147" si="102">I147+L147+L148</f>
        <v>0</v>
      </c>
    </row>
    <row r="148" spans="1:13" s="74" customFormat="1">
      <c r="A148" s="75"/>
      <c r="B148" s="76"/>
      <c r="C148" s="77"/>
      <c r="D148" s="78"/>
      <c r="E148" s="79"/>
      <c r="F148" s="78"/>
      <c r="G148" s="114"/>
      <c r="H148" s="114"/>
      <c r="I148" s="81">
        <f t="shared" ref="I148" si="103">G148*F147</f>
        <v>0</v>
      </c>
      <c r="J148" s="81">
        <f t="shared" ref="J148" si="104">H148*F147</f>
        <v>0</v>
      </c>
      <c r="K148" s="81"/>
      <c r="L148" s="81"/>
      <c r="M148" s="81"/>
    </row>
    <row r="149" spans="1:13" s="74" customFormat="1" ht="36">
      <c r="A149" s="65" t="s">
        <v>72</v>
      </c>
      <c r="B149" s="66" t="s">
        <v>284</v>
      </c>
      <c r="C149" s="67" t="s">
        <v>285</v>
      </c>
      <c r="D149" s="68" t="s">
        <v>165</v>
      </c>
      <c r="E149" s="69"/>
      <c r="F149" s="70"/>
      <c r="G149" s="71">
        <v>1799</v>
      </c>
      <c r="H149" s="71">
        <v>581</v>
      </c>
      <c r="I149" s="72">
        <f t="shared" ref="I149:I161" si="105">G149*F149</f>
        <v>0</v>
      </c>
      <c r="J149" s="72">
        <f t="shared" ref="J149:J161" si="106">H149*F149</f>
        <v>0</v>
      </c>
      <c r="K149" s="72">
        <f t="shared" ref="K149:K161" si="107">I149-I150-J149</f>
        <v>0</v>
      </c>
      <c r="L149" s="72">
        <f t="shared" ref="L149:L161" si="108">(I150+J150)*E149</f>
        <v>0</v>
      </c>
      <c r="M149" s="73">
        <f t="shared" ref="M149:M161" si="109">I149+L149+L150</f>
        <v>0</v>
      </c>
    </row>
    <row r="150" spans="1:13" s="74" customFormat="1">
      <c r="A150" s="75"/>
      <c r="B150" s="76"/>
      <c r="C150" s="77"/>
      <c r="D150" s="78"/>
      <c r="E150" s="79"/>
      <c r="F150" s="78"/>
      <c r="G150" s="80">
        <v>1094</v>
      </c>
      <c r="H150" s="80">
        <v>138</v>
      </c>
      <c r="I150" s="81">
        <f t="shared" ref="I150:I162" si="110">G150*F149</f>
        <v>0</v>
      </c>
      <c r="J150" s="81">
        <f t="shared" ref="J150:J162" si="111">H150*F149</f>
        <v>0</v>
      </c>
      <c r="K150" s="81"/>
      <c r="L150" s="81"/>
      <c r="M150" s="81"/>
    </row>
    <row r="151" spans="1:13" s="43" customFormat="1" ht="21" hidden="1" outlineLevel="1">
      <c r="A151" s="82" t="s">
        <v>286</v>
      </c>
      <c r="B151" s="83" t="s">
        <v>287</v>
      </c>
      <c r="C151" s="84" t="s">
        <v>288</v>
      </c>
      <c r="D151" s="83" t="s">
        <v>142</v>
      </c>
      <c r="E151" s="85">
        <v>0.2177</v>
      </c>
      <c r="F151" s="85"/>
      <c r="G151" s="86">
        <v>5026</v>
      </c>
      <c r="H151" s="87"/>
      <c r="I151" s="88">
        <f t="shared" si="105"/>
        <v>0</v>
      </c>
      <c r="J151" s="88">
        <f t="shared" si="106"/>
        <v>0</v>
      </c>
      <c r="K151" s="88">
        <f t="shared" si="107"/>
        <v>0</v>
      </c>
      <c r="L151" s="89">
        <f t="shared" si="108"/>
        <v>0</v>
      </c>
      <c r="M151" s="89">
        <f t="shared" si="109"/>
        <v>0</v>
      </c>
    </row>
    <row r="152" spans="1:13" s="43" customFormat="1" hidden="1" outlineLevel="1">
      <c r="A152" s="82" t="s">
        <v>289</v>
      </c>
      <c r="B152" s="83" t="s">
        <v>34</v>
      </c>
      <c r="C152" s="84" t="s">
        <v>144</v>
      </c>
      <c r="D152" s="83" t="s">
        <v>142</v>
      </c>
      <c r="E152" s="85">
        <v>0.05</v>
      </c>
      <c r="F152" s="85"/>
      <c r="G152" s="89"/>
      <c r="H152" s="87"/>
      <c r="I152" s="88">
        <f t="shared" si="110"/>
        <v>0</v>
      </c>
      <c r="J152" s="88">
        <f t="shared" si="111"/>
        <v>0</v>
      </c>
      <c r="K152" s="88"/>
      <c r="L152" s="89"/>
      <c r="M152" s="89"/>
    </row>
    <row r="153" spans="1:13" s="43" customFormat="1" hidden="1" outlineLevel="1">
      <c r="A153" s="90" t="s">
        <v>290</v>
      </c>
      <c r="B153" s="91" t="s">
        <v>291</v>
      </c>
      <c r="C153" s="92" t="s">
        <v>292</v>
      </c>
      <c r="D153" s="91" t="s">
        <v>148</v>
      </c>
      <c r="E153" s="93">
        <v>4.93248</v>
      </c>
      <c r="F153" s="93"/>
      <c r="G153" s="94"/>
      <c r="H153" s="95">
        <v>31</v>
      </c>
      <c r="I153" s="96">
        <f t="shared" si="105"/>
        <v>0</v>
      </c>
      <c r="J153" s="96">
        <f t="shared" si="106"/>
        <v>0</v>
      </c>
      <c r="K153" s="96">
        <f t="shared" si="107"/>
        <v>0</v>
      </c>
      <c r="L153" s="97">
        <f t="shared" si="108"/>
        <v>0</v>
      </c>
      <c r="M153" s="97">
        <f t="shared" si="109"/>
        <v>0</v>
      </c>
    </row>
    <row r="154" spans="1:13" s="43" customFormat="1" ht="21.75" hidden="1" outlineLevel="1">
      <c r="A154" s="90" t="s">
        <v>293</v>
      </c>
      <c r="B154" s="91" t="s">
        <v>249</v>
      </c>
      <c r="C154" s="92" t="s">
        <v>250</v>
      </c>
      <c r="D154" s="91" t="s">
        <v>148</v>
      </c>
      <c r="E154" s="93">
        <v>4.9325000000000001E-2</v>
      </c>
      <c r="F154" s="93"/>
      <c r="G154" s="94"/>
      <c r="H154" s="95">
        <v>8456</v>
      </c>
      <c r="I154" s="96">
        <f t="shared" si="110"/>
        <v>0</v>
      </c>
      <c r="J154" s="96">
        <f t="shared" si="111"/>
        <v>0</v>
      </c>
      <c r="K154" s="96"/>
      <c r="L154" s="97"/>
      <c r="M154" s="97"/>
    </row>
    <row r="155" spans="1:13" s="43" customFormat="1" hidden="1" outlineLevel="2">
      <c r="A155" s="98" t="s">
        <v>293</v>
      </c>
      <c r="B155" s="99"/>
      <c r="C155" s="100" t="s">
        <v>152</v>
      </c>
      <c r="D155" s="101" t="s">
        <v>142</v>
      </c>
      <c r="E155" s="102">
        <v>4.9325000000000001E-2</v>
      </c>
      <c r="F155" s="102"/>
      <c r="G155" s="103"/>
      <c r="H155" s="102">
        <v>2722</v>
      </c>
      <c r="I155" s="104">
        <f t="shared" si="105"/>
        <v>0</v>
      </c>
      <c r="J155" s="104">
        <f t="shared" si="106"/>
        <v>0</v>
      </c>
      <c r="K155" s="96">
        <f t="shared" si="107"/>
        <v>0</v>
      </c>
      <c r="L155" s="97">
        <f t="shared" si="108"/>
        <v>0</v>
      </c>
      <c r="M155" s="97">
        <f t="shared" si="109"/>
        <v>0</v>
      </c>
    </row>
    <row r="156" spans="1:13" s="43" customFormat="1" hidden="1" outlineLevel="1">
      <c r="A156" s="90" t="s">
        <v>294</v>
      </c>
      <c r="B156" s="91" t="s">
        <v>154</v>
      </c>
      <c r="C156" s="92" t="s">
        <v>155</v>
      </c>
      <c r="D156" s="91" t="s">
        <v>148</v>
      </c>
      <c r="E156" s="93">
        <v>1.3439999999999999E-3</v>
      </c>
      <c r="F156" s="93"/>
      <c r="G156" s="94"/>
      <c r="H156" s="95">
        <v>8363</v>
      </c>
      <c r="I156" s="96">
        <f t="shared" si="110"/>
        <v>0</v>
      </c>
      <c r="J156" s="96">
        <f t="shared" si="111"/>
        <v>0</v>
      </c>
      <c r="K156" s="96"/>
      <c r="L156" s="97"/>
      <c r="M156" s="97"/>
    </row>
    <row r="157" spans="1:13" s="43" customFormat="1" hidden="1" outlineLevel="2">
      <c r="A157" s="98" t="s">
        <v>294</v>
      </c>
      <c r="B157" s="99"/>
      <c r="C157" s="100" t="s">
        <v>152</v>
      </c>
      <c r="D157" s="101" t="s">
        <v>142</v>
      </c>
      <c r="E157" s="102">
        <v>1.3439999999999999E-3</v>
      </c>
      <c r="F157" s="102"/>
      <c r="G157" s="103"/>
      <c r="H157" s="102">
        <v>2722</v>
      </c>
      <c r="I157" s="104">
        <f t="shared" si="105"/>
        <v>0</v>
      </c>
      <c r="J157" s="104">
        <f t="shared" si="106"/>
        <v>0</v>
      </c>
      <c r="K157" s="96">
        <f t="shared" si="107"/>
        <v>0</v>
      </c>
      <c r="L157" s="97">
        <f t="shared" si="108"/>
        <v>0</v>
      </c>
      <c r="M157" s="97">
        <f t="shared" si="109"/>
        <v>0</v>
      </c>
    </row>
    <row r="158" spans="1:13" s="43" customFormat="1" ht="21" hidden="1" outlineLevel="1">
      <c r="A158" s="105" t="s">
        <v>295</v>
      </c>
      <c r="B158" s="106" t="s">
        <v>296</v>
      </c>
      <c r="C158" s="107" t="s">
        <v>297</v>
      </c>
      <c r="D158" s="106" t="s">
        <v>162</v>
      </c>
      <c r="E158" s="108">
        <v>0.20899999999999999</v>
      </c>
      <c r="F158" s="108"/>
      <c r="G158" s="109">
        <v>593</v>
      </c>
      <c r="H158" s="110"/>
      <c r="I158" s="111">
        <f t="shared" si="110"/>
        <v>0</v>
      </c>
      <c r="J158" s="111">
        <f t="shared" si="111"/>
        <v>0</v>
      </c>
      <c r="K158" s="111"/>
      <c r="L158" s="97"/>
      <c r="M158" s="97"/>
    </row>
    <row r="159" spans="1:13" s="74" customFormat="1" ht="36" collapsed="1">
      <c r="A159" s="65" t="s">
        <v>74</v>
      </c>
      <c r="B159" s="66" t="s">
        <v>282</v>
      </c>
      <c r="C159" s="67" t="s">
        <v>298</v>
      </c>
      <c r="D159" s="68" t="s">
        <v>162</v>
      </c>
      <c r="E159" s="69"/>
      <c r="F159" s="112"/>
      <c r="G159" s="115">
        <v>10452.27</v>
      </c>
      <c r="H159" s="113"/>
      <c r="I159" s="72">
        <f t="shared" si="105"/>
        <v>0</v>
      </c>
      <c r="J159" s="72">
        <f t="shared" si="106"/>
        <v>0</v>
      </c>
      <c r="K159" s="72">
        <f t="shared" si="107"/>
        <v>0</v>
      </c>
      <c r="L159" s="72">
        <f t="shared" si="108"/>
        <v>0</v>
      </c>
      <c r="M159" s="73">
        <f t="shared" si="109"/>
        <v>0</v>
      </c>
    </row>
    <row r="160" spans="1:13" s="74" customFormat="1">
      <c r="A160" s="75"/>
      <c r="B160" s="76"/>
      <c r="C160" s="77"/>
      <c r="D160" s="78"/>
      <c r="E160" s="79"/>
      <c r="F160" s="78"/>
      <c r="G160" s="114"/>
      <c r="H160" s="114"/>
      <c r="I160" s="81">
        <f t="shared" si="110"/>
        <v>0</v>
      </c>
      <c r="J160" s="81">
        <f t="shared" si="111"/>
        <v>0</v>
      </c>
      <c r="K160" s="81"/>
      <c r="L160" s="81"/>
      <c r="M160" s="81"/>
    </row>
    <row r="161" spans="1:16" s="74" customFormat="1" ht="48">
      <c r="A161" s="65" t="s">
        <v>76</v>
      </c>
      <c r="B161" s="66" t="s">
        <v>135</v>
      </c>
      <c r="C161" s="67" t="s">
        <v>299</v>
      </c>
      <c r="D161" s="68" t="s">
        <v>137</v>
      </c>
      <c r="E161" s="69"/>
      <c r="F161" s="70">
        <v>0.313</v>
      </c>
      <c r="G161" s="71">
        <v>458904</v>
      </c>
      <c r="H161" s="71">
        <v>47489</v>
      </c>
      <c r="I161" s="72">
        <f t="shared" si="105"/>
        <v>143636.95199999999</v>
      </c>
      <c r="J161" s="72">
        <f t="shared" si="106"/>
        <v>14864.057000000001</v>
      </c>
      <c r="K161" s="72">
        <f t="shared" si="107"/>
        <v>2478.333999999988</v>
      </c>
      <c r="L161" s="72">
        <f t="shared" si="108"/>
        <v>0</v>
      </c>
      <c r="M161" s="73">
        <f t="shared" si="109"/>
        <v>143636.95199999999</v>
      </c>
    </row>
    <row r="162" spans="1:16" s="74" customFormat="1" ht="13.5" thickBot="1">
      <c r="A162" s="75"/>
      <c r="B162" s="76"/>
      <c r="C162" s="77"/>
      <c r="D162" s="78"/>
      <c r="E162" s="79"/>
      <c r="F162" s="78"/>
      <c r="G162" s="80">
        <v>403497</v>
      </c>
      <c r="H162" s="80">
        <v>13487</v>
      </c>
      <c r="I162" s="81">
        <f t="shared" si="110"/>
        <v>126294.561</v>
      </c>
      <c r="J162" s="81">
        <f t="shared" si="111"/>
        <v>4221.4309999999996</v>
      </c>
      <c r="K162" s="81"/>
      <c r="L162" s="81"/>
      <c r="M162" s="81"/>
    </row>
    <row r="163" spans="1:16" s="43" customFormat="1" ht="21.75" hidden="1" outlineLevel="1" thickBot="1">
      <c r="A163" s="82" t="s">
        <v>300</v>
      </c>
      <c r="B163" s="83" t="s">
        <v>140</v>
      </c>
      <c r="C163" s="84" t="s">
        <v>141</v>
      </c>
      <c r="D163" s="83" t="s">
        <v>142</v>
      </c>
      <c r="E163" s="85">
        <v>74.555999999999997</v>
      </c>
      <c r="F163" s="85">
        <v>36.346049999999998</v>
      </c>
      <c r="G163" s="86">
        <v>5412</v>
      </c>
      <c r="H163" s="87"/>
      <c r="I163" s="88">
        <v>196705</v>
      </c>
      <c r="J163" s="88"/>
      <c r="K163" s="88"/>
      <c r="L163" s="89"/>
      <c r="M163" s="89"/>
    </row>
    <row r="164" spans="1:16" s="43" customFormat="1" ht="13.5" hidden="1" outlineLevel="1" thickBot="1">
      <c r="A164" s="82" t="s">
        <v>301</v>
      </c>
      <c r="B164" s="83" t="s">
        <v>34</v>
      </c>
      <c r="C164" s="84" t="s">
        <v>144</v>
      </c>
      <c r="D164" s="83" t="s">
        <v>142</v>
      </c>
      <c r="E164" s="85">
        <v>4.08</v>
      </c>
      <c r="F164" s="85">
        <v>1.9890000000000001</v>
      </c>
      <c r="G164" s="89"/>
      <c r="H164" s="87"/>
      <c r="I164" s="88"/>
      <c r="J164" s="88"/>
      <c r="K164" s="88"/>
      <c r="L164" s="89"/>
      <c r="M164" s="89"/>
    </row>
    <row r="165" spans="1:16" s="43" customFormat="1" ht="13.5" hidden="1" outlineLevel="1" thickBot="1">
      <c r="A165" s="90" t="s">
        <v>302</v>
      </c>
      <c r="B165" s="91" t="s">
        <v>146</v>
      </c>
      <c r="C165" s="92" t="s">
        <v>147</v>
      </c>
      <c r="D165" s="91" t="s">
        <v>148</v>
      </c>
      <c r="E165" s="93">
        <v>17.134799999999998</v>
      </c>
      <c r="F165" s="93">
        <v>8.3532150000000005</v>
      </c>
      <c r="G165" s="94"/>
      <c r="H165" s="95">
        <v>230</v>
      </c>
      <c r="I165" s="96"/>
      <c r="J165" s="96">
        <v>1921</v>
      </c>
      <c r="K165" s="96"/>
      <c r="L165" s="97"/>
      <c r="M165" s="97"/>
    </row>
    <row r="166" spans="1:16" s="43" customFormat="1" ht="21.75" hidden="1" outlineLevel="1" thickBot="1">
      <c r="A166" s="90" t="s">
        <v>303</v>
      </c>
      <c r="B166" s="91" t="s">
        <v>150</v>
      </c>
      <c r="C166" s="92" t="s">
        <v>151</v>
      </c>
      <c r="D166" s="91" t="s">
        <v>148</v>
      </c>
      <c r="E166" s="93">
        <v>2.0404800000000001</v>
      </c>
      <c r="F166" s="93">
        <v>0.99473400000000001</v>
      </c>
      <c r="G166" s="94"/>
      <c r="H166" s="95">
        <v>12979</v>
      </c>
      <c r="I166" s="96"/>
      <c r="J166" s="96">
        <v>12911</v>
      </c>
      <c r="K166" s="96"/>
      <c r="L166" s="97"/>
      <c r="M166" s="97"/>
    </row>
    <row r="167" spans="1:16" s="43" customFormat="1" ht="13.5" hidden="1" outlineLevel="2" thickBot="1">
      <c r="A167" s="98" t="s">
        <v>303</v>
      </c>
      <c r="B167" s="99"/>
      <c r="C167" s="100" t="s">
        <v>152</v>
      </c>
      <c r="D167" s="101" t="s">
        <v>142</v>
      </c>
      <c r="E167" s="102">
        <v>2.0404800000000001</v>
      </c>
      <c r="F167" s="102">
        <v>0.99473400000000001</v>
      </c>
      <c r="G167" s="103"/>
      <c r="H167" s="102">
        <v>3888</v>
      </c>
      <c r="I167" s="104"/>
      <c r="J167" s="104">
        <v>3867.53</v>
      </c>
      <c r="K167" s="96"/>
      <c r="L167" s="97"/>
      <c r="M167" s="97"/>
    </row>
    <row r="168" spans="1:16" s="43" customFormat="1" ht="13.5" hidden="1" outlineLevel="1" thickBot="1">
      <c r="A168" s="90" t="s">
        <v>304</v>
      </c>
      <c r="B168" s="91" t="s">
        <v>154</v>
      </c>
      <c r="C168" s="92" t="s">
        <v>155</v>
      </c>
      <c r="D168" s="91" t="s">
        <v>148</v>
      </c>
      <c r="E168" s="93">
        <v>2.0404800000000001</v>
      </c>
      <c r="F168" s="93">
        <v>0.99473400000000001</v>
      </c>
      <c r="G168" s="94"/>
      <c r="H168" s="95">
        <v>8363</v>
      </c>
      <c r="I168" s="96"/>
      <c r="J168" s="96">
        <v>8319</v>
      </c>
      <c r="K168" s="96"/>
      <c r="L168" s="97"/>
      <c r="M168" s="97"/>
    </row>
    <row r="169" spans="1:16" s="43" customFormat="1" ht="13.5" hidden="1" outlineLevel="2" thickBot="1">
      <c r="A169" s="98" t="s">
        <v>304</v>
      </c>
      <c r="B169" s="99"/>
      <c r="C169" s="100" t="s">
        <v>152</v>
      </c>
      <c r="D169" s="101" t="s">
        <v>142</v>
      </c>
      <c r="E169" s="102">
        <v>2.0404800000000001</v>
      </c>
      <c r="F169" s="102">
        <v>0.99473400000000001</v>
      </c>
      <c r="G169" s="103"/>
      <c r="H169" s="102">
        <v>2722</v>
      </c>
      <c r="I169" s="104"/>
      <c r="J169" s="104">
        <v>2707.67</v>
      </c>
      <c r="K169" s="96"/>
      <c r="L169" s="97"/>
      <c r="M169" s="97"/>
    </row>
    <row r="170" spans="1:16" s="43" customFormat="1" ht="13.5" hidden="1" outlineLevel="1" thickBot="1">
      <c r="A170" s="105" t="s">
        <v>305</v>
      </c>
      <c r="B170" s="106" t="s">
        <v>157</v>
      </c>
      <c r="C170" s="107" t="s">
        <v>158</v>
      </c>
      <c r="D170" s="106" t="s">
        <v>137</v>
      </c>
      <c r="E170" s="108">
        <v>2.5400000000000002E-3</v>
      </c>
      <c r="F170" s="108">
        <v>1.238E-3</v>
      </c>
      <c r="G170" s="109">
        <v>1510113</v>
      </c>
      <c r="H170" s="110"/>
      <c r="I170" s="111"/>
      <c r="J170" s="111"/>
      <c r="K170" s="111">
        <v>1870</v>
      </c>
      <c r="L170" s="97"/>
      <c r="M170" s="97"/>
    </row>
    <row r="171" spans="1:16" s="43" customFormat="1" ht="21.75" hidden="1" outlineLevel="1" thickBot="1">
      <c r="A171" s="105" t="s">
        <v>306</v>
      </c>
      <c r="B171" s="106" t="s">
        <v>160</v>
      </c>
      <c r="C171" s="107" t="s">
        <v>161</v>
      </c>
      <c r="D171" s="106" t="s">
        <v>162</v>
      </c>
      <c r="E171" s="108">
        <v>3.36</v>
      </c>
      <c r="F171" s="108">
        <v>1.6379999999999999</v>
      </c>
      <c r="G171" s="109">
        <v>1215</v>
      </c>
      <c r="H171" s="110"/>
      <c r="I171" s="111"/>
      <c r="J171" s="111"/>
      <c r="K171" s="111">
        <v>1990</v>
      </c>
      <c r="L171" s="97"/>
      <c r="M171" s="97"/>
    </row>
    <row r="172" spans="1:16" s="43" customFormat="1" ht="24.75" customHeight="1" collapsed="1" thickTop="1">
      <c r="A172" s="116"/>
      <c r="B172" s="117"/>
      <c r="C172" s="118" t="s">
        <v>307</v>
      </c>
      <c r="D172" s="119" t="s">
        <v>320</v>
      </c>
      <c r="E172" s="120"/>
      <c r="F172" s="197"/>
      <c r="G172" s="198"/>
      <c r="H172" s="198"/>
      <c r="I172" s="198">
        <f>I26+I37+I39+I50+I52+I61+I63+I72+I74+I86+I88+I90+I101+I103+I105+I117+I124+I134+I136+I147+I138+I149+I159+I161</f>
        <v>3050997.6990320003</v>
      </c>
      <c r="J172" s="198">
        <f t="shared" ref="J172:L173" si="112">J26+J37+J39+J50+J52+J61+J63+J72+J74+J86+J88+J90+J101+J103+J105+J117+J124+J134+J136+J147+J138+J149+J159+J161</f>
        <v>116081.03685333334</v>
      </c>
      <c r="K172" s="198">
        <f t="shared" si="112"/>
        <v>2049985.3969536</v>
      </c>
      <c r="L172" s="198">
        <f t="shared" si="112"/>
        <v>0</v>
      </c>
      <c r="M172" s="196">
        <f>M26+M37+M39+M50+M52+M61+M63+M72+M74+M86+M88+M90+M101+M103+M105+M117+M124+M134+M136+M147+M138+M149+M159+M161</f>
        <v>3050997.6990320003</v>
      </c>
      <c r="N172" s="199"/>
      <c r="P172" s="200"/>
    </row>
    <row r="173" spans="1:16" s="43" customFormat="1">
      <c r="A173" s="124"/>
      <c r="B173" s="125"/>
      <c r="C173" s="126"/>
      <c r="D173" s="127"/>
      <c r="E173" s="128"/>
      <c r="F173" s="201"/>
      <c r="G173" s="202"/>
      <c r="H173" s="202"/>
      <c r="I173" s="202">
        <f>I27+I38+I40+I51+I53+I62+I64+I73+I75+I87+I89+I91+I102+I104+I106+I118+I125+I135+I137+I148+I139+I150+I160+I162</f>
        <v>884931.2652250668</v>
      </c>
      <c r="J173" s="202">
        <f t="shared" si="112"/>
        <v>31570.323844800001</v>
      </c>
      <c r="K173" s="202">
        <f t="shared" si="112"/>
        <v>0</v>
      </c>
      <c r="L173" s="202">
        <f t="shared" si="112"/>
        <v>0</v>
      </c>
      <c r="M173" s="202"/>
    </row>
    <row r="174" spans="1:16" s="43" customFormat="1" ht="12.75" customHeight="1">
      <c r="A174" s="131"/>
      <c r="B174" s="132"/>
      <c r="C174" s="133"/>
      <c r="D174" s="134"/>
      <c r="E174" s="135"/>
      <c r="F174" s="203"/>
      <c r="G174" s="204"/>
      <c r="H174" s="204"/>
      <c r="I174" s="204"/>
      <c r="J174" s="204"/>
      <c r="K174" s="204"/>
      <c r="L174" s="204"/>
      <c r="M174" s="204"/>
      <c r="O174" s="200">
        <f>K172*1.297256615</f>
        <v>2659357.1168514583</v>
      </c>
    </row>
    <row r="175" spans="1:16" s="43" customFormat="1">
      <c r="A175" s="205"/>
      <c r="B175" s="320" t="s">
        <v>375</v>
      </c>
      <c r="C175" s="321"/>
      <c r="D175" s="206"/>
      <c r="E175" s="207"/>
      <c r="F175" s="208"/>
      <c r="G175" s="209"/>
      <c r="H175" s="209"/>
      <c r="I175" s="210">
        <f>K173</f>
        <v>0</v>
      </c>
      <c r="J175" s="210"/>
      <c r="K175" s="210"/>
      <c r="L175" s="210"/>
      <c r="M175" s="210"/>
    </row>
    <row r="176" spans="1:16" s="43" customFormat="1">
      <c r="A176" s="211"/>
      <c r="B176" s="320" t="s">
        <v>376</v>
      </c>
      <c r="C176" s="321"/>
      <c r="D176" s="212" t="s">
        <v>320</v>
      </c>
      <c r="E176" s="213"/>
      <c r="F176" s="214"/>
      <c r="G176" s="215"/>
      <c r="H176" s="215"/>
      <c r="I176" s="216">
        <f>K172</f>
        <v>2049985.3969536</v>
      </c>
      <c r="J176" s="216"/>
      <c r="K176" s="216"/>
      <c r="L176" s="216"/>
      <c r="M176" s="216"/>
    </row>
    <row r="177" spans="1:16" s="43" customFormat="1">
      <c r="A177" s="217"/>
      <c r="B177" s="240"/>
      <c r="C177" s="240" t="s">
        <v>377</v>
      </c>
      <c r="D177" s="212" t="s">
        <v>320</v>
      </c>
      <c r="E177" s="213"/>
      <c r="F177" s="214"/>
      <c r="G177" s="215"/>
      <c r="H177" s="215"/>
      <c r="I177" s="216">
        <f>L172</f>
        <v>0</v>
      </c>
      <c r="J177" s="216"/>
      <c r="K177" s="216"/>
      <c r="L177" s="216"/>
      <c r="M177" s="216">
        <f>'[1]360040430_К9'!M194-'[1]КМ2 ЛС34 формула с коэфф.'!M194</f>
        <v>0</v>
      </c>
      <c r="N177" s="200"/>
    </row>
    <row r="178" spans="1:16" s="43" customFormat="1" ht="12.75" customHeight="1">
      <c r="A178" s="217"/>
      <c r="B178" s="240"/>
      <c r="C178" s="240" t="s">
        <v>378</v>
      </c>
      <c r="D178" s="212" t="s">
        <v>320</v>
      </c>
      <c r="E178" s="213"/>
      <c r="F178" s="214"/>
      <c r="G178" s="215"/>
      <c r="H178" s="215"/>
      <c r="I178" s="216">
        <f>L173</f>
        <v>0</v>
      </c>
      <c r="J178" s="216"/>
      <c r="K178" s="216"/>
      <c r="L178" s="216"/>
      <c r="M178" s="216"/>
      <c r="O178" s="219"/>
      <c r="P178" s="220"/>
    </row>
    <row r="179" spans="1:16" ht="12.75" customHeight="1">
      <c r="A179" s="211"/>
      <c r="B179" s="239"/>
      <c r="C179" s="240" t="s">
        <v>379</v>
      </c>
      <c r="D179" s="212" t="s">
        <v>320</v>
      </c>
      <c r="E179" s="213"/>
      <c r="F179" s="214"/>
      <c r="G179" s="215"/>
      <c r="H179" s="215"/>
      <c r="I179" s="216">
        <f>I172</f>
        <v>3050997.6990320003</v>
      </c>
      <c r="J179" s="216"/>
      <c r="K179" s="216" t="s">
        <v>380</v>
      </c>
      <c r="L179" s="216" t="s">
        <v>381</v>
      </c>
      <c r="M179" s="216" t="s">
        <v>382</v>
      </c>
      <c r="N179" s="221">
        <f>I175*1.03*1.0958*0.989307</f>
        <v>0</v>
      </c>
      <c r="O179" s="222" t="s">
        <v>383</v>
      </c>
      <c r="P179" s="220"/>
    </row>
    <row r="180" spans="1:16" ht="12.75" customHeight="1">
      <c r="A180" s="223"/>
      <c r="B180" s="320" t="s">
        <v>384</v>
      </c>
      <c r="C180" s="320"/>
      <c r="D180" s="223"/>
      <c r="E180" s="224"/>
      <c r="F180" s="225"/>
      <c r="G180" s="226" t="s">
        <v>385</v>
      </c>
      <c r="H180" s="227">
        <v>0.108</v>
      </c>
      <c r="I180" s="228">
        <f>(I179-I175)*10.8%</f>
        <v>329507.75149545609</v>
      </c>
      <c r="J180" s="228"/>
      <c r="K180" s="228">
        <f>(I173+J172)*10.8%</f>
        <v>108109.32862446723</v>
      </c>
      <c r="L180" s="228">
        <f>I176*10.8%</f>
        <v>221398.42287098881</v>
      </c>
      <c r="M180" s="228"/>
      <c r="N180" s="229">
        <f>(((I176*10.8%)+(L181*5%)+(L181*3%)+I176)*1.0958)*0.989307</f>
        <v>2659357.1171556436</v>
      </c>
      <c r="O180" s="220" t="s">
        <v>386</v>
      </c>
    </row>
    <row r="181" spans="1:16" ht="12.75" customHeight="1">
      <c r="A181" s="223"/>
      <c r="B181" s="322" t="s">
        <v>387</v>
      </c>
      <c r="C181" s="322"/>
      <c r="D181" s="223"/>
      <c r="E181" s="224"/>
      <c r="F181" s="225"/>
      <c r="G181" s="226"/>
      <c r="H181" s="227"/>
      <c r="I181" s="228">
        <f>I179+I180</f>
        <v>3380505.4505274566</v>
      </c>
      <c r="J181" s="228"/>
      <c r="K181" s="228">
        <f>(I173+J172)+K180</f>
        <v>1109121.6307028674</v>
      </c>
      <c r="L181" s="228">
        <f>I176+L180</f>
        <v>2271383.819824589</v>
      </c>
      <c r="M181" s="228"/>
      <c r="N181" s="229">
        <f>I186-N180-N179</f>
        <v>1298569.8307161178</v>
      </c>
      <c r="O181" s="220" t="s">
        <v>380</v>
      </c>
      <c r="P181" s="221"/>
    </row>
    <row r="182" spans="1:16" ht="12.75" customHeight="1">
      <c r="A182" s="223"/>
      <c r="B182" s="320" t="s">
        <v>388</v>
      </c>
      <c r="C182" s="320"/>
      <c r="D182" s="223"/>
      <c r="E182" s="224"/>
      <c r="F182" s="225"/>
      <c r="G182" s="226" t="s">
        <v>385</v>
      </c>
      <c r="H182" s="227">
        <v>0.05</v>
      </c>
      <c r="I182" s="228">
        <f>(I181-I175)*5%</f>
        <v>169025.27252637284</v>
      </c>
      <c r="J182" s="228"/>
      <c r="K182" s="228">
        <f>K181*5%</f>
        <v>55456.08153514337</v>
      </c>
      <c r="L182" s="228">
        <f>L181*5%</f>
        <v>113569.19099122945</v>
      </c>
      <c r="M182" s="228"/>
      <c r="N182" s="222"/>
    </row>
    <row r="183" spans="1:16">
      <c r="A183" s="223"/>
      <c r="B183" s="320" t="s">
        <v>389</v>
      </c>
      <c r="C183" s="320"/>
      <c r="D183" s="223"/>
      <c r="E183" s="224"/>
      <c r="F183" s="225"/>
      <c r="G183" s="226" t="s">
        <v>385</v>
      </c>
      <c r="H183" s="227">
        <v>0.03</v>
      </c>
      <c r="I183" s="228">
        <f>I181*H183</f>
        <v>101415.16351582369</v>
      </c>
      <c r="J183" s="228"/>
      <c r="K183" s="228">
        <f>K181*3%</f>
        <v>33273.648921086024</v>
      </c>
      <c r="L183" s="228">
        <f>L181*3%</f>
        <v>68141.514594737673</v>
      </c>
      <c r="M183" s="228">
        <f>(I175*3%)</f>
        <v>0</v>
      </c>
      <c r="N183" s="221"/>
    </row>
    <row r="184" spans="1:16" ht="12.75" customHeight="1">
      <c r="A184" s="223"/>
      <c r="B184" s="319" t="s">
        <v>390</v>
      </c>
      <c r="C184" s="319"/>
      <c r="D184" s="223"/>
      <c r="E184" s="224"/>
      <c r="F184" s="225"/>
      <c r="G184" s="226"/>
      <c r="H184" s="227"/>
      <c r="I184" s="228">
        <f>I181+I182+I183</f>
        <v>3650945.8865696532</v>
      </c>
      <c r="J184" s="228"/>
      <c r="K184" s="228">
        <f>K181+K182+K183</f>
        <v>1197851.3611590967</v>
      </c>
      <c r="L184" s="228">
        <f t="shared" ref="L184" si="113">L181+L182+L183</f>
        <v>2453094.5254105562</v>
      </c>
      <c r="M184" s="228">
        <f>M181+M182+M183+I175</f>
        <v>0</v>
      </c>
      <c r="N184" s="222"/>
    </row>
    <row r="185" spans="1:16">
      <c r="A185" s="223"/>
      <c r="B185" s="320" t="s">
        <v>391</v>
      </c>
      <c r="C185" s="320"/>
      <c r="D185" s="223"/>
      <c r="E185" s="224"/>
      <c r="F185" s="225"/>
      <c r="G185" s="226" t="s">
        <v>385</v>
      </c>
      <c r="H185" s="230">
        <v>1.0958000000000001</v>
      </c>
      <c r="I185" s="228">
        <f>I184*H185</f>
        <v>4000706.5025030263</v>
      </c>
      <c r="J185" s="228"/>
      <c r="K185" s="228">
        <f>K184*1.0958</f>
        <v>1312605.5215581383</v>
      </c>
      <c r="L185" s="228">
        <f>L184*1.0958</f>
        <v>2688100.9809448877</v>
      </c>
      <c r="M185" s="228">
        <f t="shared" ref="M185" si="114">M184*1.0958</f>
        <v>0</v>
      </c>
      <c r="N185" s="221"/>
      <c r="P185" s="221"/>
    </row>
    <row r="186" spans="1:16" ht="14.25" customHeight="1">
      <c r="A186" s="223"/>
      <c r="B186" s="320" t="s">
        <v>392</v>
      </c>
      <c r="C186" s="320"/>
      <c r="D186" s="223"/>
      <c r="E186" s="224"/>
      <c r="F186" s="225"/>
      <c r="G186" s="226" t="s">
        <v>385</v>
      </c>
      <c r="H186" s="231">
        <v>0.98930700000000005</v>
      </c>
      <c r="I186" s="228">
        <f>I185*H186</f>
        <v>3957926.9478717614</v>
      </c>
      <c r="J186" s="228"/>
      <c r="K186" s="228">
        <f>K185*H186</f>
        <v>1298569.8307161173</v>
      </c>
      <c r="L186" s="228">
        <f>L185*H186</f>
        <v>2659357.1171556441</v>
      </c>
      <c r="M186" s="228">
        <f>M185*H186</f>
        <v>0</v>
      </c>
      <c r="N186" s="222"/>
    </row>
    <row r="187" spans="1:16">
      <c r="A187" s="223"/>
      <c r="B187" s="232" t="s">
        <v>393</v>
      </c>
      <c r="C187" s="232"/>
      <c r="D187" s="223"/>
      <c r="E187" s="224"/>
      <c r="F187" s="225"/>
      <c r="G187" s="226" t="s">
        <v>385</v>
      </c>
      <c r="H187" s="233">
        <v>0.12</v>
      </c>
      <c r="I187" s="228">
        <f>I186*H187</f>
        <v>474951.23374461132</v>
      </c>
      <c r="J187" s="228"/>
      <c r="K187" s="228"/>
      <c r="L187" s="228"/>
      <c r="M187" s="228"/>
      <c r="N187" s="222"/>
    </row>
    <row r="188" spans="1:16">
      <c r="A188" s="223"/>
      <c r="B188" s="319" t="s">
        <v>394</v>
      </c>
      <c r="C188" s="319"/>
      <c r="D188" s="223"/>
      <c r="E188" s="224"/>
      <c r="F188" s="225"/>
      <c r="G188" s="226"/>
      <c r="H188" s="226"/>
      <c r="I188" s="228">
        <f>I186+I187</f>
        <v>4432878.1816163724</v>
      </c>
      <c r="J188" s="228"/>
      <c r="K188" s="228"/>
      <c r="L188" s="228"/>
      <c r="M188" s="228"/>
      <c r="N188" s="222"/>
      <c r="P188" s="221"/>
    </row>
    <row r="189" spans="1:16" s="236" customFormat="1"/>
  </sheetData>
  <mergeCells count="34">
    <mergeCell ref="C3:M3"/>
    <mergeCell ref="C4:M4"/>
    <mergeCell ref="C5:M5"/>
    <mergeCell ref="C6:M6"/>
    <mergeCell ref="C8:G8"/>
    <mergeCell ref="H8:M8"/>
    <mergeCell ref="A23:M23"/>
    <mergeCell ref="C9:K9"/>
    <mergeCell ref="C11:M11"/>
    <mergeCell ref="C12:L12"/>
    <mergeCell ref="C14:M14"/>
    <mergeCell ref="A18:K18"/>
    <mergeCell ref="A19:A21"/>
    <mergeCell ref="B19:B21"/>
    <mergeCell ref="C19:C21"/>
    <mergeCell ref="D19:D21"/>
    <mergeCell ref="E19:F20"/>
    <mergeCell ref="G19:H19"/>
    <mergeCell ref="I19:K19"/>
    <mergeCell ref="L19:L20"/>
    <mergeCell ref="M19:M21"/>
    <mergeCell ref="E22:F22"/>
    <mergeCell ref="B188:C188"/>
    <mergeCell ref="F24:K24"/>
    <mergeCell ref="C25:D25"/>
    <mergeCell ref="B175:C175"/>
    <mergeCell ref="B176:C176"/>
    <mergeCell ref="B180:C180"/>
    <mergeCell ref="B181:C181"/>
    <mergeCell ref="B182:C182"/>
    <mergeCell ref="B183:C183"/>
    <mergeCell ref="B184:C184"/>
    <mergeCell ref="B185:C185"/>
    <mergeCell ref="B186:C186"/>
  </mergeCells>
  <printOptions horizontalCentered="1"/>
  <pageMargins left="0.59" right="0.39" top="0.59" bottom="0.59" header="0.39" footer="0.39"/>
  <pageSetup paperSize="9" scale="60" fitToHeight="10000" orientation="landscape" horizontalDpi="300" verticalDpi="300" r:id="rId1"/>
  <headerFooter>
    <oddHeader>&amp;L&amp;9Программный комплекс АВС (редакция 2023.10)&amp;C&amp;P&amp;R360014020</oddHeader>
    <oddFooter>&amp;CСтраниц -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11</vt:i4>
      </vt:variant>
    </vt:vector>
  </HeadingPairs>
  <TitlesOfParts>
    <vt:vector size="18" baseType="lpstr">
      <vt:lpstr>360014020_В1</vt:lpstr>
      <vt:lpstr>360014020_ИД</vt:lpstr>
      <vt:lpstr>360014020_К9</vt:lpstr>
      <vt:lpstr>360014020_РА</vt:lpstr>
      <vt:lpstr>КХ1.3 ЛС71формула</vt:lpstr>
      <vt:lpstr>КХ1.3 ЛС71формула (2)</vt:lpstr>
      <vt:lpstr>март26 8 блок</vt:lpstr>
      <vt:lpstr>'КХ1.3 ЛС71формула'!Excel_BuiltIn_Print_Titles_1</vt:lpstr>
      <vt:lpstr>'КХ1.3 ЛС71формула (2)'!Excel_BuiltIn_Print_Titles_1</vt:lpstr>
      <vt:lpstr>'март26 8 блок'!Excel_BuiltIn_Print_Titles_1</vt:lpstr>
      <vt:lpstr>Excel_BuiltIn_Print_Titles_1</vt:lpstr>
      <vt:lpstr>'360014020_В1'!Заголовки_для_печати</vt:lpstr>
      <vt:lpstr>'360014020_ИД'!Заголовки_для_печати</vt:lpstr>
      <vt:lpstr>'360014020_К9'!Заголовки_для_печати</vt:lpstr>
      <vt:lpstr>'360014020_РА'!Заголовки_для_печати</vt:lpstr>
      <vt:lpstr>'КХ1.3 ЛС71формула'!Заголовки_для_печати</vt:lpstr>
      <vt:lpstr>'КХ1.3 ЛС71формула (2)'!Заголовки_для_печати</vt:lpstr>
      <vt:lpstr>'март26 8 блок'!Заголовки_для_печати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Дроздова</dc:creator>
  <cp:lastModifiedBy>PCuser</cp:lastModifiedBy>
  <dcterms:created xsi:type="dcterms:W3CDTF">2023-12-15T10:25:49Z</dcterms:created>
  <dcterms:modified xsi:type="dcterms:W3CDTF">2026-03-28T04:28:56Z</dcterms:modified>
</cp:coreProperties>
</file>